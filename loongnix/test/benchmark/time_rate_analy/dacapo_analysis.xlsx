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8" windowHeight="11003"/>
  </bookViews>
  <sheets>
    <sheet name="Sheet1" sheetId="1" r:id="rId1"/>
    <sheet name="Representative Summary" sheetId="2" r:id="rId2"/>
    <sheet name="Run Stability" sheetId="3" r:id="rId3"/>
    <sheet name="Representative Young GC Detail" sheetId="4" r:id="rId4"/>
    <sheet name="Validation" sheetId="5" r:id="rId5"/>
  </sheets>
  <definedNames>
    <definedName name="_xlnm._FilterDatabase" localSheetId="1" hidden="1">'Representative Summary'!$A$1:$AV$21</definedName>
    <definedName name="_xlnm._FilterDatabase" localSheetId="2" hidden="1">'Run Stability'!$A$1:$U$61</definedName>
    <definedName name="_xlnm._FilterDatabase" localSheetId="3" hidden="1">'Representative Young GC Detail'!$A$1:$AA$361</definedName>
    <definedName name="_xlnm._FilterDatabase" localSheetId="4" hidden="1">Validation!$A$1:$I$1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<sst xmlns="http://schemas.openxmlformats.org/spreadsheetml/2006/main" count="4110" uniqueCount="964">
  <si>
    <t>单GC线程 不使用CompressedOops CompressedKlassPointers</t>
  </si>
  <si>
    <t>avrora</t>
  </si>
  <si>
    <t>GC(num)</t>
  </si>
  <si>
    <t>Type</t>
  </si>
  <si>
    <t>Young</t>
  </si>
  <si>
    <t>Full</t>
  </si>
  <si>
    <t>Phases</t>
  </si>
  <si>
    <t>Pre Evacuate Collection Set</t>
  </si>
  <si>
    <t>Merge Heap Roots</t>
  </si>
  <si>
    <t>Evacuate Collection Set</t>
  </si>
  <si>
    <t>Post Evacuate Collection Set</t>
  </si>
  <si>
    <t>Other</t>
  </si>
  <si>
    <t>Used Heap Changes</t>
  </si>
  <si>
    <t>24M-&gt;2M</t>
  </si>
  <si>
    <t>22M-3M</t>
  </si>
  <si>
    <t>9M-&gt;3M</t>
  </si>
  <si>
    <t>7M-&gt;4M</t>
  </si>
  <si>
    <t>8M-&gt;5M</t>
  </si>
  <si>
    <t>9M-&gt;6M</t>
  </si>
  <si>
    <t>26M-&gt;5M</t>
  </si>
  <si>
    <t>41M-&gt;6M</t>
  </si>
  <si>
    <t>Single GC Time</t>
  </si>
  <si>
    <t>All GC Time</t>
  </si>
  <si>
    <t>Execute Time</t>
  </si>
  <si>
    <t>Rate</t>
  </si>
  <si>
    <t>Young GC Rate</t>
  </si>
  <si>
    <t>batik</t>
  </si>
  <si>
    <t>12M-&gt;3M</t>
  </si>
  <si>
    <t>8M-&gt;6M</t>
  </si>
  <si>
    <t>10M-&gt;10M</t>
  </si>
  <si>
    <t>14M-&gt;13M</t>
  </si>
  <si>
    <t>21M-&gt;20M</t>
  </si>
  <si>
    <t>28M-&gt;27M</t>
  </si>
  <si>
    <t>35M-&gt;35M</t>
  </si>
  <si>
    <t>43M-&gt;43M</t>
  </si>
  <si>
    <t>75M-&gt;74M</t>
  </si>
  <si>
    <t>102M-&gt;89M</t>
  </si>
  <si>
    <t>117M-&gt;103M</t>
  </si>
  <si>
    <t>131M-&gt;119M</t>
  </si>
  <si>
    <t>227M-&gt;175M</t>
  </si>
  <si>
    <t>291M-&gt;237M</t>
  </si>
  <si>
    <t>biojava</t>
  </si>
  <si>
    <t>8M-&gt;3M</t>
  </si>
  <si>
    <t>8M-&gt;4M</t>
  </si>
  <si>
    <t>9M-&gt;5M</t>
  </si>
  <si>
    <t>21M-&gt;8M</t>
  </si>
  <si>
    <t>28M-&gt;10M</t>
  </si>
  <si>
    <t>46M-&gt;14M</t>
  </si>
  <si>
    <t>70M-&gt;19M</t>
  </si>
  <si>
    <t>71M-&gt;25M</t>
  </si>
  <si>
    <t>113M-&gt;34M</t>
  </si>
  <si>
    <t>138M-&gt;46M</t>
  </si>
  <si>
    <t>166M-&gt;59M</t>
  </si>
  <si>
    <t>231M-&gt;77M</t>
  </si>
  <si>
    <t>269M-&gt;98M</t>
  </si>
  <si>
    <t>334M-&gt;123M</t>
  </si>
  <si>
    <t>399M-&gt;154M</t>
  </si>
  <si>
    <t>474M-&gt;179M</t>
  </si>
  <si>
    <t>579M-&gt;179M</t>
  </si>
  <si>
    <t>2467M-&gt;179M</t>
  </si>
  <si>
    <t>cassandra</t>
  </si>
  <si>
    <t>Concurrent Mark Cycle</t>
  </si>
  <si>
    <t>23M-&gt;4M</t>
  </si>
  <si>
    <t>24M-&gt;14M</t>
  </si>
  <si>
    <t>34M-&gt;16M</t>
  </si>
  <si>
    <t>36M-&gt;16M</t>
  </si>
  <si>
    <t>19M-&gt;16M</t>
  </si>
  <si>
    <t>17M-&gt;17M</t>
  </si>
  <si>
    <t>44M-&gt;20M</t>
  </si>
  <si>
    <t>24M-&gt;21M</t>
  </si>
  <si>
    <t>45M-&gt;21M</t>
  </si>
  <si>
    <t>37M-&gt;22M</t>
  </si>
  <si>
    <t>23M-&gt;23M</t>
  </si>
  <si>
    <t>54M-&gt;27M</t>
  </si>
  <si>
    <t>51M-&gt;38M</t>
  </si>
  <si>
    <t>182M-&gt;47M</t>
  </si>
  <si>
    <t>191M-&gt;52M</t>
  </si>
  <si>
    <t>208M-&gt;60M</t>
  </si>
  <si>
    <t>232M-&gt;72M</t>
  </si>
  <si>
    <t>444M-&gt;89M</t>
  </si>
  <si>
    <t>333M-&gt;95M</t>
  </si>
  <si>
    <t>211M-&gt;100M</t>
  </si>
  <si>
    <t>80M-&gt;80M</t>
  </si>
  <si>
    <t>181M-&gt;68M</t>
  </si>
  <si>
    <t>192M-&gt;89M</t>
  </si>
  <si>
    <t>181M-&gt;94M</t>
  </si>
  <si>
    <t>370M-&gt;116M</t>
  </si>
  <si>
    <t>364M-&gt;122M</t>
  </si>
  <si>
    <t>374M-&gt;118M</t>
  </si>
  <si>
    <t>382M-&gt;120M</t>
  </si>
  <si>
    <t>388M-&gt;123M</t>
  </si>
  <si>
    <t>587M-&gt;121M</t>
  </si>
  <si>
    <t>589M-&gt;121M</t>
  </si>
  <si>
    <t>589M-&gt;129M</t>
  </si>
  <si>
    <t>589M-&gt;132M</t>
  </si>
  <si>
    <t>684M-&gt;138M</t>
  </si>
  <si>
    <t>686M-&gt;138M</t>
  </si>
  <si>
    <t>686M-&gt;134M</t>
  </si>
  <si>
    <t>686M-&gt;136M</t>
  </si>
  <si>
    <t>eclipse</t>
  </si>
  <si>
    <t>22M-&gt;5M</t>
  </si>
  <si>
    <t>25M-&gt;7M</t>
  </si>
  <si>
    <t>27M-&gt;8M</t>
  </si>
  <si>
    <t>19M-&gt;10M</t>
  </si>
  <si>
    <t>11M-&gt;11M</t>
  </si>
  <si>
    <t>38M-&gt;12M</t>
  </si>
  <si>
    <t>16M-&gt;12M</t>
  </si>
  <si>
    <t>21M-&gt;12M</t>
  </si>
  <si>
    <t>32M-&gt;14M</t>
  </si>
  <si>
    <t>30M-&gt;14M</t>
  </si>
  <si>
    <t>33M-&gt;14M</t>
  </si>
  <si>
    <t>173M-&gt;16M</t>
  </si>
  <si>
    <t>176M-&gt;40M</t>
  </si>
  <si>
    <t>180M-&gt;59M</t>
  </si>
  <si>
    <t>203M-&gt;82M</t>
  </si>
  <si>
    <t>130M-&gt;88M</t>
  </si>
  <si>
    <t>248M-&gt;108M</t>
  </si>
  <si>
    <t>112M-&gt;111M</t>
  </si>
  <si>
    <t>383M-&gt;182M</t>
  </si>
  <si>
    <t>226M-&gt;188M</t>
  </si>
  <si>
    <t>256M-&gt;194M</t>
  </si>
  <si>
    <t>430M-&gt;215M</t>
  </si>
  <si>
    <t>555M-&gt;259M</t>
  </si>
  <si>
    <t>503M-&gt;294M</t>
  </si>
  <si>
    <t>590M-&gt;340M</t>
  </si>
  <si>
    <t>656M-&gt;362M</t>
  </si>
  <si>
    <t>1090M-&gt;362M</t>
  </si>
  <si>
    <t>2265M-&gt;390M</t>
  </si>
  <si>
    <t>2366M-&gt;388M</t>
  </si>
  <si>
    <t>1330M-&gt;388M</t>
  </si>
  <si>
    <t>160M-&gt;160M</t>
  </si>
  <si>
    <t>496M-&gt;136M</t>
  </si>
  <si>
    <t>148M-&gt;83M</t>
  </si>
  <si>
    <t>107M-&gt;67M</t>
  </si>
  <si>
    <t>fop</t>
  </si>
  <si>
    <t>13M-&gt;3M</t>
  </si>
  <si>
    <t>8M-&gt;8M</t>
  </si>
  <si>
    <t>20M-&gt;10M</t>
  </si>
  <si>
    <t>14M-&gt;11M</t>
  </si>
  <si>
    <t>27M-&gt;13M</t>
  </si>
  <si>
    <t>33M-&gt;16M</t>
  </si>
  <si>
    <t>60M-&gt;17M</t>
  </si>
  <si>
    <t>173M-&gt;27M</t>
  </si>
  <si>
    <t>175M-&gt;20M</t>
  </si>
  <si>
    <t>graphchi</t>
  </si>
  <si>
    <t>Concurrent Undo Cycle</t>
  </si>
  <si>
    <t>20M-&gt;4M</t>
  </si>
  <si>
    <t>6M-&gt;5M</t>
  </si>
  <si>
    <t>141M-&gt;139M</t>
  </si>
  <si>
    <t>143M-&gt;142M</t>
  </si>
  <si>
    <t>148M-&gt;148M</t>
  </si>
  <si>
    <t>146M-&gt;145M</t>
  </si>
  <si>
    <t>157M-&gt;155M</t>
  </si>
  <si>
    <t>167M-&gt;167M</t>
  </si>
  <si>
    <t>177M-&gt;172M</t>
  </si>
  <si>
    <t>176M-&gt;176M</t>
  </si>
  <si>
    <t>188M-&gt;181M</t>
  </si>
  <si>
    <t>193M-&gt;179M</t>
  </si>
  <si>
    <t>231M-&gt;179M</t>
  </si>
  <si>
    <t>859M-&gt;179M</t>
  </si>
  <si>
    <t>863M-&gt;212M</t>
  </si>
  <si>
    <t>860M-&gt;211M</t>
  </si>
  <si>
    <t>539M-&gt;214M</t>
  </si>
  <si>
    <t>518M-&gt;217M</t>
  </si>
  <si>
    <t>1585M-&gt;249M</t>
  </si>
  <si>
    <t>1593M-&gt;251M</t>
  </si>
  <si>
    <t>1599M-&gt;251M</t>
  </si>
  <si>
    <t>1587M-&gt;249M</t>
  </si>
  <si>
    <t>h2</t>
  </si>
  <si>
    <t>24M-&gt;6M</t>
  </si>
  <si>
    <t>26M-&gt;8M</t>
  </si>
  <si>
    <t>30M-&gt;11M</t>
  </si>
  <si>
    <t>31M-&gt;12M</t>
  </si>
  <si>
    <t>56M-&gt;18M</t>
  </si>
  <si>
    <t>58M-&gt;20M</t>
  </si>
  <si>
    <t>80M-&gt;25M</t>
  </si>
  <si>
    <t>81M-&gt;30M</t>
  </si>
  <si>
    <t>142M-&gt;38M</t>
  </si>
  <si>
    <t>194M-&gt;47M</t>
  </si>
  <si>
    <t>191M-&gt;58M</t>
  </si>
  <si>
    <t>230M-&gt;71M</t>
  </si>
  <si>
    <t>375M-&gt;89M</t>
  </si>
  <si>
    <t>333M-&gt;105M</t>
  </si>
  <si>
    <t>649M-&gt;139M</t>
  </si>
  <si>
    <t>515M-&gt;163M</t>
  </si>
  <si>
    <t>655M-&gt;193M</t>
  </si>
  <si>
    <t>569M-&gt;217M</t>
  </si>
  <si>
    <t>949M-&gt;261M</t>
  </si>
  <si>
    <t>793M-&gt;294M</t>
  </si>
  <si>
    <t>1134M-&gt;330M</t>
  </si>
  <si>
    <t>1026M-&gt;362M</t>
  </si>
  <si>
    <t>1238M-&gt;386M</t>
  </si>
  <si>
    <t>3094M-&gt;498M</t>
  </si>
  <si>
    <t>1590M-&gt;471M</t>
  </si>
  <si>
    <t>2331M-&gt;495M</t>
  </si>
  <si>
    <t>2807M-&gt;691M</t>
  </si>
  <si>
    <t>995M-&gt;692M</t>
  </si>
  <si>
    <t>4648M-&gt;878M</t>
  </si>
  <si>
    <t>1230M-&gt;872M</t>
  </si>
  <si>
    <t>1172M-&gt;650M</t>
  </si>
  <si>
    <t>1842M-&gt;676M</t>
  </si>
  <si>
    <t>1856M-&gt;688M</t>
  </si>
  <si>
    <t>1864M-&gt;698M</t>
  </si>
  <si>
    <t>3202M-&gt;718M</t>
  </si>
  <si>
    <t>3202M-&gt;734M</t>
  </si>
  <si>
    <t>3202M-&gt;750M</t>
  </si>
  <si>
    <t>3202M-&gt;764M</t>
  </si>
  <si>
    <t>3632M-&gt;782M</t>
  </si>
  <si>
    <t>3634M-&gt;798M</t>
  </si>
  <si>
    <t>3634M-&gt;814M</t>
  </si>
  <si>
    <t>3634M-&gt;830M</t>
  </si>
  <si>
    <t>4190M-&gt;848M</t>
  </si>
  <si>
    <t>4188M-&gt;992M</t>
  </si>
  <si>
    <t>1896M-&gt;748M</t>
  </si>
  <si>
    <t>h2o</t>
  </si>
  <si>
    <t>32M-&gt;13M</t>
  </si>
  <si>
    <t>29M-&gt;15M</t>
  </si>
  <si>
    <t>15M-&gt;15M</t>
  </si>
  <si>
    <t>35M-&gt;17M</t>
  </si>
  <si>
    <t>21M-&gt;17M</t>
  </si>
  <si>
    <t>29M-&gt;18M</t>
  </si>
  <si>
    <t>42M-&gt;21M</t>
  </si>
  <si>
    <t>35M-&gt;22M</t>
  </si>
  <si>
    <t>54M-&gt;28M</t>
  </si>
  <si>
    <t>48M-&gt;27M</t>
  </si>
  <si>
    <t>51M-&gt;32M</t>
  </si>
  <si>
    <t>52M-&gt;37M</t>
  </si>
  <si>
    <t>121M-&gt;42M</t>
  </si>
  <si>
    <t>174M-&gt;49M</t>
  </si>
  <si>
    <t>205M-&gt;53M</t>
  </si>
  <si>
    <t>209M-&gt;50M</t>
  </si>
  <si>
    <t>370M-&gt;42M</t>
  </si>
  <si>
    <t>370M-&gt;50M</t>
  </si>
  <si>
    <t>518M-&gt;52M</t>
  </si>
  <si>
    <t>520M-&gt;48M</t>
  </si>
  <si>
    <t>520M-&gt;50M</t>
  </si>
  <si>
    <t>518M-&gt;50M</t>
  </si>
  <si>
    <t>614M-&gt;50M</t>
  </si>
  <si>
    <t>614M-&gt;52M</t>
  </si>
  <si>
    <t>616M-&gt;54M</t>
  </si>
  <si>
    <t>614M-&gt;54M</t>
  </si>
  <si>
    <t>726M-&gt;58M</t>
  </si>
  <si>
    <t>726M-&gt;59M</t>
  </si>
  <si>
    <t>727M-&gt;61M</t>
  </si>
  <si>
    <t>729M-&gt;60M</t>
  </si>
  <si>
    <t>868M-&gt;60M</t>
  </si>
  <si>
    <t>868M-&gt;65M</t>
  </si>
  <si>
    <t>869M-&gt;65M</t>
  </si>
  <si>
    <t>869M-&gt;66M</t>
  </si>
  <si>
    <t>870M-&gt;67M</t>
  </si>
  <si>
    <t>871M-&gt;65M</t>
  </si>
  <si>
    <t>212M-&gt;58M</t>
  </si>
  <si>
    <t>60M-&gt;58M</t>
  </si>
  <si>
    <t>jme</t>
  </si>
  <si>
    <t>16M-&gt;4M</t>
  </si>
  <si>
    <t>10M-&gt;6M</t>
  </si>
  <si>
    <t>38M-&gt;11M</t>
  </si>
  <si>
    <t>39M-&gt;10M</t>
  </si>
  <si>
    <t>31M-&gt;8M</t>
  </si>
  <si>
    <t>jython</t>
  </si>
  <si>
    <t>22M-&gt;3M</t>
  </si>
  <si>
    <t>23M-&gt;3M</t>
  </si>
  <si>
    <t>31M-&gt;3M</t>
  </si>
  <si>
    <t>291M-&gt;13M</t>
  </si>
  <si>
    <t>125M-&gt;16M</t>
  </si>
  <si>
    <t>192M-&gt;19M</t>
  </si>
  <si>
    <t>71M-&gt;24M</t>
  </si>
  <si>
    <t>26M-&gt;26M</t>
  </si>
  <si>
    <t>50M-&gt;25M</t>
  </si>
  <si>
    <t>73M-&gt;29M</t>
  </si>
  <si>
    <t>201M-&gt;28M</t>
  </si>
  <si>
    <t>200M-&gt;31M</t>
  </si>
  <si>
    <t>199M-&gt;34M</t>
  </si>
  <si>
    <t>198M-&gt;35M</t>
  </si>
  <si>
    <t>235M-&gt;35M</t>
  </si>
  <si>
    <t>447M-&gt;35M</t>
  </si>
  <si>
    <t>447M-&gt;59M</t>
  </si>
  <si>
    <t>447M-&gt;39M</t>
  </si>
  <si>
    <t>455M-&gt;35M</t>
  </si>
  <si>
    <t>715M-&gt;34M</t>
  </si>
  <si>
    <t>kafka</t>
  </si>
  <si>
    <t>26M-&gt;11M</t>
  </si>
  <si>
    <t>18M-&gt;12M</t>
  </si>
  <si>
    <t>12M-&gt;12M</t>
  </si>
  <si>
    <t>165M-&gt;147M</t>
  </si>
  <si>
    <t>149M-&gt;149M</t>
  </si>
  <si>
    <t>167M-&gt;149M</t>
  </si>
  <si>
    <t>151M-&gt;150M</t>
  </si>
  <si>
    <t>165M-&gt;165M</t>
  </si>
  <si>
    <t>214M-&gt;166M</t>
  </si>
  <si>
    <t>170M-&gt;166M</t>
  </si>
  <si>
    <t>226M-&gt;171M</t>
  </si>
  <si>
    <t>173M-&gt;173M</t>
  </si>
  <si>
    <t>231M-&gt;186M</t>
  </si>
  <si>
    <t>238M-&gt;191M</t>
  </si>
  <si>
    <t>211M-&gt;211M</t>
  </si>
  <si>
    <t>343M-&gt;188M</t>
  </si>
  <si>
    <t>512M-&gt;187M</t>
  </si>
  <si>
    <t>515M-&gt;188M</t>
  </si>
  <si>
    <t>520M-&gt;188M</t>
  </si>
  <si>
    <t>520M-&gt;189M</t>
  </si>
  <si>
    <t>525M-&gt;190M</t>
  </si>
  <si>
    <t>522M-&gt;189M</t>
  </si>
  <si>
    <t>luindex</t>
  </si>
  <si>
    <t>7M-&gt;3M</t>
  </si>
  <si>
    <t>25M-&gt;5M</t>
  </si>
  <si>
    <t>157M-&gt;14M</t>
  </si>
  <si>
    <t>158M-&gt;19M</t>
  </si>
  <si>
    <t>167M-&gt;27M</t>
  </si>
  <si>
    <t>163M-&gt;27M</t>
  </si>
  <si>
    <t>167M-&gt;30M</t>
  </si>
  <si>
    <t>222M-&gt;38M</t>
  </si>
  <si>
    <t>222M-&gt;43M</t>
  </si>
  <si>
    <t>239M-&gt;49M</t>
  </si>
  <si>
    <t>237M-&gt;31M</t>
  </si>
  <si>
    <t>231M-&gt;37M</t>
  </si>
  <si>
    <t>233M-&gt;26M</t>
  </si>
  <si>
    <t>226M-&gt;26M</t>
  </si>
  <si>
    <t>lusearch</t>
  </si>
  <si>
    <t>27M-&gt;3M</t>
  </si>
  <si>
    <t>39M-&gt;3M</t>
  </si>
  <si>
    <t>30M-&gt;3M</t>
  </si>
  <si>
    <t>164M-&gt;18M</t>
  </si>
  <si>
    <t>166M-&gt;18M</t>
  </si>
  <si>
    <t>318M-&gt;18M</t>
  </si>
  <si>
    <t>318M-&gt;19M</t>
  </si>
  <si>
    <t>319M-&gt;19M</t>
  </si>
  <si>
    <t>447M-&gt;18M</t>
  </si>
  <si>
    <t>446M-&gt;18M</t>
  </si>
  <si>
    <t>446M-&gt;19M</t>
  </si>
  <si>
    <t>531M-&gt;19M</t>
  </si>
  <si>
    <t>531M-&gt;18M</t>
  </si>
  <si>
    <t>530M-&gt;18M</t>
  </si>
  <si>
    <t>638M-&gt;18M</t>
  </si>
  <si>
    <t>pmd</t>
  </si>
  <si>
    <t>15M-&gt;3M</t>
  </si>
  <si>
    <t>49M-&gt;5M</t>
  </si>
  <si>
    <t>153M-&gt;5M</t>
  </si>
  <si>
    <t>153M-&gt;38M</t>
  </si>
  <si>
    <t>61M-&gt;40M</t>
  </si>
  <si>
    <t>59M-&gt;59M</t>
  </si>
  <si>
    <t>172M-&gt;57M</t>
  </si>
  <si>
    <t>61M-&gt;59M</t>
  </si>
  <si>
    <t>139M-&gt;75M</t>
  </si>
  <si>
    <t>135M-&gt;135M</t>
  </si>
  <si>
    <t>143M-&gt;91M</t>
  </si>
  <si>
    <t>147M-&gt;99M</t>
  </si>
  <si>
    <t>167M-&gt;109M</t>
  </si>
  <si>
    <t>477M-&gt;143M</t>
  </si>
  <si>
    <t>483M-&gt;183M</t>
  </si>
  <si>
    <t>451M-&gt;203M</t>
  </si>
  <si>
    <t>503M-&gt;223M</t>
  </si>
  <si>
    <t>899M-&gt;263M</t>
  </si>
  <si>
    <t>859M-&gt;298M</t>
  </si>
  <si>
    <t>1410M-&gt;378M</t>
  </si>
  <si>
    <t>1042M-&gt;425M</t>
  </si>
  <si>
    <t>1237M-&gt;483M</t>
  </si>
  <si>
    <t>1287M-&gt;533M</t>
  </si>
  <si>
    <t>spring</t>
  </si>
  <si>
    <t>24M-&gt;5M</t>
  </si>
  <si>
    <t>27M-&gt;7M</t>
  </si>
  <si>
    <t>48M-&gt;9M</t>
  </si>
  <si>
    <t>50M-&gt;9M</t>
  </si>
  <si>
    <t>19M-&gt;19M</t>
  </si>
  <si>
    <t>69M-&gt;11M</t>
  </si>
  <si>
    <t>15M-&gt;11M</t>
  </si>
  <si>
    <t>179M-&gt;14M</t>
  </si>
  <si>
    <t>178M-&gt;17M</t>
  </si>
  <si>
    <t>85M-&gt;19M</t>
  </si>
  <si>
    <t>75M-&gt;20M</t>
  </si>
  <si>
    <t>24M-&gt;22M</t>
  </si>
  <si>
    <t>194M-&gt;26M</t>
  </si>
  <si>
    <t>218M-&gt;45M</t>
  </si>
  <si>
    <t>201M-&gt;50M</t>
  </si>
  <si>
    <t>210M-&gt;53M</t>
  </si>
  <si>
    <t>343M-&gt;59M</t>
  </si>
  <si>
    <t>65M-&gt;65M</t>
  </si>
  <si>
    <t>199M-&gt;53M</t>
  </si>
  <si>
    <t>69M-&gt;69M</t>
  </si>
  <si>
    <t>173M-&gt;59M</t>
  </si>
  <si>
    <t>179M-&gt;73M</t>
  </si>
  <si>
    <t>177M-&gt;70M</t>
  </si>
  <si>
    <t>100M-&gt;53M</t>
  </si>
  <si>
    <t>145M-&gt;58M</t>
  </si>
  <si>
    <t>310M-&gt;63M</t>
  </si>
  <si>
    <t>311M-&gt;64M</t>
  </si>
  <si>
    <t>312M-&gt;63M</t>
  </si>
  <si>
    <t>311M-&gt;65M</t>
  </si>
  <si>
    <t>493M-&gt;65M</t>
  </si>
  <si>
    <t>805M-&gt;65M</t>
  </si>
  <si>
    <t>1125M-&gt;65M</t>
  </si>
  <si>
    <t>1129M-&gt;65M</t>
  </si>
  <si>
    <t>1321M-&gt;65M</t>
  </si>
  <si>
    <t>sunflow</t>
  </si>
  <si>
    <t>36M-&gt;15M</t>
  </si>
  <si>
    <t>42M-&gt;19M</t>
  </si>
  <si>
    <t>31M-&gt;22M</t>
  </si>
  <si>
    <t>26M-&gt;22M</t>
  </si>
  <si>
    <t>38M-&gt;28M</t>
  </si>
  <si>
    <t>36M-&gt;29M</t>
  </si>
  <si>
    <t>49M-&gt;29M</t>
  </si>
  <si>
    <t>61M-&gt;29M</t>
  </si>
  <si>
    <t>193M-&gt;36M</t>
  </si>
  <si>
    <t>92M-&gt;38M</t>
  </si>
  <si>
    <t>318M-&gt;44M</t>
  </si>
  <si>
    <t>336M-&gt;45M</t>
  </si>
  <si>
    <t>465M-&gt;45M</t>
  </si>
  <si>
    <t>1053M-&gt;45M</t>
  </si>
  <si>
    <t>1221M-&gt;45M</t>
  </si>
  <si>
    <t>1221M-&gt;46M</t>
  </si>
  <si>
    <t>1222M-&gt;45M</t>
  </si>
  <si>
    <t>1365M-&gt;45M</t>
  </si>
  <si>
    <t>1365M-&gt;43M</t>
  </si>
  <si>
    <t>tomcat</t>
  </si>
  <si>
    <t>23M-&gt;2M</t>
  </si>
  <si>
    <t>23M-&gt;5M</t>
  </si>
  <si>
    <t>25M-&gt;9M</t>
  </si>
  <si>
    <t>19M-&gt;11M</t>
  </si>
  <si>
    <t>39M-&gt;12M</t>
  </si>
  <si>
    <t>40M-&gt;13M</t>
  </si>
  <si>
    <t>43M-&gt;12M</t>
  </si>
  <si>
    <t>32M-&gt;17M</t>
  </si>
  <si>
    <t>178M-&gt;21M</t>
  </si>
  <si>
    <t>135M-&gt;21M</t>
  </si>
  <si>
    <t>29M-&gt;29M</t>
  </si>
  <si>
    <t>105M-&gt;22M</t>
  </si>
  <si>
    <t>26M-&gt;23M</t>
  </si>
  <si>
    <t>91M-&gt;22M</t>
  </si>
  <si>
    <t>202M-&gt;22M</t>
  </si>
  <si>
    <t>238M-&gt;22M</t>
  </si>
  <si>
    <t>286M-&gt;22M</t>
  </si>
  <si>
    <t>342M-&gt;22M</t>
  </si>
  <si>
    <t>xalan</t>
  </si>
  <si>
    <t>21M-&gt;4M</t>
  </si>
  <si>
    <t>10M-&gt;8M</t>
  </si>
  <si>
    <t>12M-&gt;9M</t>
  </si>
  <si>
    <t>13M-&gt;11M</t>
  </si>
  <si>
    <t>18M-&gt;18M</t>
  </si>
  <si>
    <t>19M-&gt;14M</t>
  </si>
  <si>
    <t>18M-&gt;15M</t>
  </si>
  <si>
    <t>23M-&gt;17M</t>
  </si>
  <si>
    <t>29M-&gt;20M</t>
  </si>
  <si>
    <t>36M-&gt;22M</t>
  </si>
  <si>
    <t>158M-&gt;25M</t>
  </si>
  <si>
    <t>189M-&gt;24M</t>
  </si>
  <si>
    <t>188M-&gt;24M</t>
  </si>
  <si>
    <t>360M-&gt;24M</t>
  </si>
  <si>
    <t>360M-&gt;23M</t>
  </si>
  <si>
    <t>359M-&gt;25M</t>
  </si>
  <si>
    <t>361M-&gt;24M</t>
  </si>
  <si>
    <t>448M-&gt;23M</t>
  </si>
  <si>
    <t>447M-&gt;24M</t>
  </si>
  <si>
    <t>448M-&gt;24M</t>
  </si>
  <si>
    <t>535M-&gt;24M</t>
  </si>
  <si>
    <t>536M-&gt;23M</t>
  </si>
  <si>
    <t>535M-&gt;25M</t>
  </si>
  <si>
    <t>537M-&gt;25M</t>
  </si>
  <si>
    <t>zxing</t>
  </si>
  <si>
    <t>41M-&gt;15M</t>
  </si>
  <si>
    <t>151M-&gt;57M</t>
  </si>
  <si>
    <t>209M-&gt;56M</t>
  </si>
  <si>
    <t>190M-&gt;20M</t>
  </si>
  <si>
    <t>284M-&gt;20M</t>
  </si>
  <si>
    <t>204M-&gt;12M</t>
  </si>
  <si>
    <t>196M-&gt;15M</t>
  </si>
  <si>
    <t>203M-&gt;17M</t>
  </si>
  <si>
    <t>205M-&gt;16M</t>
  </si>
  <si>
    <t>200M-&gt;17M</t>
  </si>
  <si>
    <t>benchmark</t>
  </si>
  <si>
    <t>representative_run</t>
  </si>
  <si>
    <t>representative_runtime_ms</t>
  </si>
  <si>
    <t>run_1_runtime_ms</t>
  </si>
  <si>
    <t>run_2_runtime_ms</t>
  </si>
  <si>
    <t>run_3_runtime_ms</t>
  </si>
  <si>
    <t>mean_runtime_ms</t>
  </si>
  <si>
    <t>median_runtime_ms</t>
  </si>
  <si>
    <t>min_runtime_ms</t>
  </si>
  <si>
    <t>max_runtime_ms</t>
  </si>
  <si>
    <t>standard_deviation_runtime_ms</t>
  </si>
  <si>
    <t>selection_status</t>
  </si>
  <si>
    <t>selection_reason</t>
  </si>
  <si>
    <t>total_gc_ms</t>
  </si>
  <si>
    <t>gc_runtime_percent</t>
  </si>
  <si>
    <t>young_gc_count</t>
  </si>
  <si>
    <t>total_young_gc_ms</t>
  </si>
  <si>
    <t>young_gc_gc_percent</t>
  </si>
  <si>
    <t>young_gc_runtime_percent</t>
  </si>
  <si>
    <t>total_ecs_ms</t>
  </si>
  <si>
    <t>ecs_young_percent</t>
  </si>
  <si>
    <t>total_live_ms</t>
  </si>
  <si>
    <t>total_non_live_ms</t>
  </si>
  <si>
    <t>weighted_live_ecs_percent</t>
  </si>
  <si>
    <t>per_gc_average_live_ecs_percent</t>
  </si>
  <si>
    <t>live_young_percent</t>
  </si>
  <si>
    <t>live_gc_percent</t>
  </si>
  <si>
    <t>live_runtime_percent</t>
  </si>
  <si>
    <t>average_live_ms</t>
  </si>
  <si>
    <t>median_live_ms</t>
  </si>
  <si>
    <t>p90_live_ms</t>
  </si>
  <si>
    <t>p99_live_ms</t>
  </si>
  <si>
    <t>maximum_live_ms</t>
  </si>
  <si>
    <t>young_with_evac_match</t>
  </si>
  <si>
    <t>young_missing_evac</t>
  </si>
  <si>
    <t>extra_or_optional_evac_records</t>
  </si>
  <si>
    <t>sanity_failure_count</t>
  </si>
  <si>
    <t>slowest_young_gc_id</t>
  </si>
  <si>
    <t>slowest_young_pause_ms</t>
  </si>
  <si>
    <t>slowest_ecs_gc_id</t>
  </si>
  <si>
    <t>slowest_ecs_ms</t>
  </si>
  <si>
    <t>slowest_live_gc_id</t>
  </si>
  <si>
    <t>slowest_live_ms</t>
  </si>
  <si>
    <t>highest_live_ratio_gc_id</t>
  </si>
  <si>
    <t>highest_live_ratio_percent</t>
  </si>
  <si>
    <t>representative_source_log</t>
  </si>
  <si>
    <t>representative_status</t>
  </si>
  <si>
    <t>representative_invalid_reasons</t>
  </si>
  <si>
    <t>valid</t>
  </si>
  <si>
    <t>median of three formal benchmark elapsed times</t>
  </si>
  <si>
    <t>/home/sxyang/WorkSpace/Projects/wsl/java_gc/loongnix/test/benchmark/time_rate_analy/dacapo/avrora/run-2.log</t>
  </si>
  <si>
    <t>/home/sxyang/WorkSpace/Projects/wsl/java_gc/loongnix/test/benchmark/time_rate_analy/dacapo/batik/run-2.log</t>
  </si>
  <si>
    <t>/home/sxyang/WorkSpace/Projects/wsl/java_gc/loongnix/test/benchmark/time_rate_analy/dacapo/biojava/run-1.log</t>
  </si>
  <si>
    <t>three valid formal benchmark elapsed-time records are required</t>
  </si>
  <si>
    <t>/home/sxyang/WorkSpace/Projects/wsl/java_gc/loongnix/test/benchmark/time_rate_analy/dacapo/eclipse/run-1.log</t>
  </si>
  <si>
    <t>/home/sxyang/WorkSpace/Projects/wsl/java_gc/loongnix/test/benchmark/time_rate_analy/dacapo/fop/run-3.log</t>
  </si>
  <si>
    <t>/home/sxyang/WorkSpace/Projects/wsl/java_gc/loongnix/test/benchmark/time_rate_analy/dacapo/graphchi/run-2.log</t>
  </si>
  <si>
    <t>/home/sxyang/WorkSpace/Projects/wsl/java_gc/loongnix/test/benchmark/time_rate_analy/dacapo/h2/run-1.log</t>
  </si>
  <si>
    <t>/home/sxyang/WorkSpace/Projects/wsl/java_gc/loongnix/test/benchmark/time_rate_analy/dacapo/h2o/run-3.log</t>
  </si>
  <si>
    <t>/home/sxyang/WorkSpace/Projects/wsl/java_gc/loongnix/test/benchmark/time_rate_analy/dacapo/jme/run-1.log</t>
  </si>
  <si>
    <t>/home/sxyang/WorkSpace/Projects/wsl/java_gc/loongnix/test/benchmark/time_rate_analy/dacapo/jython/run-1.log</t>
  </si>
  <si>
    <t>/home/sxyang/WorkSpace/Projects/wsl/java_gc/loongnix/test/benchmark/time_rate_analy/dacapo/kafka/run-2.log</t>
  </si>
  <si>
    <t>/home/sxyang/WorkSpace/Projects/wsl/java_gc/loongnix/test/benchmark/time_rate_analy/dacapo/luindex/run-2.log</t>
  </si>
  <si>
    <t>/home/sxyang/WorkSpace/Projects/wsl/java_gc/loongnix/test/benchmark/time_rate_analy/dacapo/lusearch/run-3.log</t>
  </si>
  <si>
    <t>/home/sxyang/WorkSpace/Projects/wsl/java_gc/loongnix/test/benchmark/time_rate_analy/dacapo/pmd/run-3.log</t>
  </si>
  <si>
    <t>/home/sxyang/WorkSpace/Projects/wsl/java_gc/loongnix/test/benchmark/time_rate_analy/dacapo/spring/run-3.log</t>
  </si>
  <si>
    <t>/home/sxyang/WorkSpace/Projects/wsl/java_gc/loongnix/test/benchmark/time_rate_analy/dacapo/sunflow/run-3.log</t>
  </si>
  <si>
    <t>/home/sxyang/WorkSpace/Projects/wsl/java_gc/loongnix/test/benchmark/time_rate_analy/dacapo/tomcat/run-2.log</t>
  </si>
  <si>
    <t>/home/sxyang/WorkSpace/Projects/wsl/java_gc/loongnix/test/benchmark/time_rate_analy/dacapo/xalan/run-3.log</t>
  </si>
  <si>
    <t>/home/sxyang/WorkSpace/Projects/wsl/java_gc/loongnix/test/benchmark/time_rate_analy/dacapo/zxing/run-3.log</t>
  </si>
  <si>
    <t>run</t>
  </si>
  <si>
    <t>run_status</t>
  </si>
  <si>
    <t>benchmark_runtime_ms</t>
  </si>
  <si>
    <t>runtime_source</t>
  </si>
  <si>
    <t>runner_elapsed_ms</t>
  </si>
  <si>
    <t>runner_exit_code</t>
  </si>
  <si>
    <t>invalid_reasons</t>
  </si>
  <si>
    <t>measurement_windows</t>
  </si>
  <si>
    <t>events_seen_total</t>
  </si>
  <si>
    <t>events_in_measurement_window</t>
  </si>
  <si>
    <t>source_log</t>
  </si>
  <si>
    <t>DaCapo PASSED in msec</t>
  </si>
  <si>
    <t>71-152 (DaCapo starting→PASSED)</t>
  </si>
  <si>
    <t>/home/sxyang/WorkSpace/Projects/wsl/java_gc/loongnix/test/benchmark/time_rate_analy/dacapo/avrora/run-1.log</t>
  </si>
  <si>
    <t>/home/sxyang/WorkSpace/Projects/wsl/java_gc/loongnix/test/benchmark/time_rate_analy/dacapo/avrora/run-3.log</t>
  </si>
  <si>
    <t>39-267 (DaCapo starting→PASSED)</t>
  </si>
  <si>
    <t>/home/sxyang/WorkSpace/Projects/wsl/java_gc/loongnix/test/benchmark/time_rate_analy/dacapo/batik/run-1.log</t>
  </si>
  <si>
    <t>/home/sxyang/WorkSpace/Projects/wsl/java_gc/loongnix/test/benchmark/time_rate_analy/dacapo/batik/run-3.log</t>
  </si>
  <si>
    <t>39-412 (DaCapo starting→PASSED)</t>
  </si>
  <si>
    <t>/home/sxyang/WorkSpace/Projects/wsl/java_gc/loongnix/test/benchmark/time_rate_analy/dacapo/biojava/run-2.log</t>
  </si>
  <si>
    <t>/home/sxyang/WorkSpace/Projects/wsl/java_gc/loongnix/test/benchmark/time_rate_analy/dacapo/biojava/run-3.log</t>
  </si>
  <si>
    <t>invalid</t>
  </si>
  <si>
    <t>runner_exit_code=255; missing DaCapo starting marker; missing DaCapo result marker</t>
  </si>
  <si>
    <t/>
  </si>
  <si>
    <t>/home/sxyang/WorkSpace/Projects/wsl/java_gc/loongnix/test/benchmark/time_rate_analy/dacapo/cassandra/run-1.log</t>
  </si>
  <si>
    <t>/home/sxyang/WorkSpace/Projects/wsl/java_gc/loongnix/test/benchmark/time_rate_analy/dacapo/cassandra/run-2.log</t>
  </si>
  <si>
    <t>/home/sxyang/WorkSpace/Projects/wsl/java_gc/loongnix/test/benchmark/time_rate_analy/dacapo/cassandra/run-3.log</t>
  </si>
  <si>
    <t>175-545 (DaCapo starting→PASSED)</t>
  </si>
  <si>
    <t>175-641 (DaCapo starting→PASSED)</t>
  </si>
  <si>
    <t>/home/sxyang/WorkSpace/Projects/wsl/java_gc/loongnix/test/benchmark/time_rate_analy/dacapo/eclipse/run-2.log</t>
  </si>
  <si>
    <t>159-593 (DaCapo starting→PASSED)</t>
  </si>
  <si>
    <t>/home/sxyang/WorkSpace/Projects/wsl/java_gc/loongnix/test/benchmark/time_rate_analy/dacapo/eclipse/run-3.log</t>
  </si>
  <si>
    <t>39-256 (DaCapo starting→PASSED)</t>
  </si>
  <si>
    <t>/home/sxyang/WorkSpace/Projects/wsl/java_gc/loongnix/test/benchmark/time_rate_analy/dacapo/fop/run-1.log</t>
  </si>
  <si>
    <t>39-240 (DaCapo starting→PASSED)</t>
  </si>
  <si>
    <t>/home/sxyang/WorkSpace/Projects/wsl/java_gc/loongnix/test/benchmark/time_rate_analy/dacapo/fop/run-2.log</t>
  </si>
  <si>
    <t>56-410 (DaCapo starting→PASSED)</t>
  </si>
  <si>
    <t>/home/sxyang/WorkSpace/Projects/wsl/java_gc/loongnix/test/benchmark/time_rate_analy/dacapo/graphchi/run-1.log</t>
  </si>
  <si>
    <t>56-442 (DaCapo starting→PASSED)</t>
  </si>
  <si>
    <t>/home/sxyang/WorkSpace/Projects/wsl/java_gc/loongnix/test/benchmark/time_rate_analy/dacapo/graphchi/run-3.log</t>
  </si>
  <si>
    <t>538-746 (DaCapo starting→PASSED)</t>
  </si>
  <si>
    <t>539-779 (DaCapo starting→PASSED)</t>
  </si>
  <si>
    <t>/home/sxyang/WorkSpace/Projects/wsl/java_gc/loongnix/test/benchmark/time_rate_analy/dacapo/h2/run-2.log</t>
  </si>
  <si>
    <t>556-748 (DaCapo starting→PASSED)</t>
  </si>
  <si>
    <t>/home/sxyang/WorkSpace/Projects/wsl/java_gc/loongnix/test/benchmark/time_rate_analy/dacapo/h2/run-3.log</t>
  </si>
  <si>
    <t>159-662 (DaCapo starting→PASSED)</t>
  </si>
  <si>
    <t>/home/sxyang/WorkSpace/Projects/wsl/java_gc/loongnix/test/benchmark/time_rate_analy/dacapo/h2o/run-1.log</t>
  </si>
  <si>
    <t>159-710 (DaCapo starting→PASSED)</t>
  </si>
  <si>
    <t>/home/sxyang/WorkSpace/Projects/wsl/java_gc/loongnix/test/benchmark/time_rate_analy/dacapo/h2o/run-2.log</t>
  </si>
  <si>
    <t>159-614 (DaCapo starting→PASSED)</t>
  </si>
  <si>
    <t>39-208 (DaCapo starting→PASSED)</t>
  </si>
  <si>
    <t>/home/sxyang/WorkSpace/Projects/wsl/java_gc/loongnix/test/benchmark/time_rate_analy/dacapo/jme/run-2.log</t>
  </si>
  <si>
    <t>/home/sxyang/WorkSpace/Projects/wsl/java_gc/loongnix/test/benchmark/time_rate_analy/dacapo/jme/run-3.log</t>
  </si>
  <si>
    <t>222-541 (DaCapo starting→PASSED)</t>
  </si>
  <si>
    <t>238-541 (DaCapo starting→PASSED)</t>
  </si>
  <si>
    <t>/home/sxyang/WorkSpace/Projects/wsl/java_gc/loongnix/test/benchmark/time_rate_analy/dacapo/jython/run-2.log</t>
  </si>
  <si>
    <t>222-525 (DaCapo starting→PASSED)</t>
  </si>
  <si>
    <t>/home/sxyang/WorkSpace/Projects/wsl/java_gc/loongnix/test/benchmark/time_rate_analy/dacapo/jython/run-3.log</t>
  </si>
  <si>
    <t>204-451 (DaCapo starting→PASSED)</t>
  </si>
  <si>
    <t>/home/sxyang/WorkSpace/Projects/wsl/java_gc/loongnix/test/benchmark/time_rate_analy/dacapo/kafka/run-1.log</t>
  </si>
  <si>
    <t>204-483 (DaCapo starting→PASSED)</t>
  </si>
  <si>
    <t>204-428 (DaCapo starting→PASSED)</t>
  </si>
  <si>
    <t>/home/sxyang/WorkSpace/Projects/wsl/java_gc/loongnix/test/benchmark/time_rate_analy/dacapo/kafka/run-3.log</t>
  </si>
  <si>
    <t>39-338 (DaCapo starting→PASSED)</t>
  </si>
  <si>
    <t>/home/sxyang/WorkSpace/Projects/wsl/java_gc/loongnix/test/benchmark/time_rate_analy/dacapo/luindex/run-1.log</t>
  </si>
  <si>
    <t>/home/sxyang/WorkSpace/Projects/wsl/java_gc/loongnix/test/benchmark/time_rate_analy/dacapo/luindex/run-3.log</t>
  </si>
  <si>
    <t>104-775 (DaCapo starting→PASSED)</t>
  </si>
  <si>
    <t>/home/sxyang/WorkSpace/Projects/wsl/java_gc/loongnix/test/benchmark/time_rate_analy/dacapo/lusearch/run-1.log</t>
  </si>
  <si>
    <t>/home/sxyang/WorkSpace/Projects/wsl/java_gc/loongnix/test/benchmark/time_rate_analy/dacapo/lusearch/run-2.log</t>
  </si>
  <si>
    <t>104-791 (DaCapo starting→PASSED)</t>
  </si>
  <si>
    <t>72-525 (DaCapo starting→PASSED)</t>
  </si>
  <si>
    <t>/home/sxyang/WorkSpace/Projects/wsl/java_gc/loongnix/test/benchmark/time_rate_analy/dacapo/pmd/run-1.log</t>
  </si>
  <si>
    <t>72-502 (DaCapo starting→PASSED)</t>
  </si>
  <si>
    <t>/home/sxyang/WorkSpace/Projects/wsl/java_gc/loongnix/test/benchmark/time_rate_analy/dacapo/pmd/run-2.log</t>
  </si>
  <si>
    <t>72-486 (DaCapo starting→PASSED)</t>
  </si>
  <si>
    <t>535-927 (DaCapo starting→PASSED)</t>
  </si>
  <si>
    <t>/home/sxyang/WorkSpace/Projects/wsl/java_gc/loongnix/test/benchmark/time_rate_analy/dacapo/spring/run-1.log</t>
  </si>
  <si>
    <t>536-880 (DaCapo starting→PASSED)</t>
  </si>
  <si>
    <t>/home/sxyang/WorkSpace/Projects/wsl/java_gc/loongnix/test/benchmark/time_rate_analy/dacapo/spring/run-2.log</t>
  </si>
  <si>
    <t>535-879 (DaCapo starting→PASSED)</t>
  </si>
  <si>
    <t>71-472 (DaCapo starting→PASSED)</t>
  </si>
  <si>
    <t>/home/sxyang/WorkSpace/Projects/wsl/java_gc/loongnix/test/benchmark/time_rate_analy/dacapo/sunflow/run-1.log</t>
  </si>
  <si>
    <t>71-488 (DaCapo starting→PASSED)</t>
  </si>
  <si>
    <t>/home/sxyang/WorkSpace/Projects/wsl/java_gc/loongnix/test/benchmark/time_rate_analy/dacapo/sunflow/run-2.log</t>
  </si>
  <si>
    <t>337-929 (DaCapo starting→PASSED)</t>
  </si>
  <si>
    <t>/home/sxyang/WorkSpace/Projects/wsl/java_gc/loongnix/test/benchmark/time_rate_analy/dacapo/tomcat/run-1.log</t>
  </si>
  <si>
    <t>337-817 (DaCapo starting→PASSED)</t>
  </si>
  <si>
    <t>337-816 (DaCapo starting→PASSED)</t>
  </si>
  <si>
    <t>/home/sxyang/WorkSpace/Projects/wsl/java_gc/loongnix/test/benchmark/time_rate_analy/dacapo/tomcat/run-3.log</t>
  </si>
  <si>
    <t>56-381 (DaCapo starting→PASSED)</t>
  </si>
  <si>
    <t>/home/sxyang/WorkSpace/Projects/wsl/java_gc/loongnix/test/benchmark/time_rate_analy/dacapo/xalan/run-1.log</t>
  </si>
  <si>
    <t>56-413 (DaCapo starting→PASSED)</t>
  </si>
  <si>
    <t>/home/sxyang/WorkSpace/Projects/wsl/java_gc/loongnix/test/benchmark/time_rate_analy/dacapo/xalan/run-2.log</t>
  </si>
  <si>
    <t>56-397 (DaCapo starting→PASSED)</t>
  </si>
  <si>
    <t>88-268 (DaCapo starting→PASSED)</t>
  </si>
  <si>
    <t>/home/sxyang/WorkSpace/Projects/wsl/java_gc/loongnix/test/benchmark/time_rate_analy/dacapo/zxing/run-1.log</t>
  </si>
  <si>
    <t>88-284 (DaCapo starting→PASSED)</t>
  </si>
  <si>
    <t>/home/sxyang/WorkSpace/Projects/wsl/java_gc/loongnix/test/benchmark/time_rate_analy/dacapo/zxing/run-2.log</t>
  </si>
  <si>
    <t>gc_id</t>
  </si>
  <si>
    <t>gc_cause</t>
  </si>
  <si>
    <t>young_gc_pause_ms</t>
  </si>
  <si>
    <t>evacuate_collection_set_ms</t>
  </si>
  <si>
    <t>evacuate_live_objects_ms</t>
  </si>
  <si>
    <t>non_evacuate_live_objects_ms</t>
  </si>
  <si>
    <t>live_ecs_percent</t>
  </si>
  <si>
    <t>non_live_ecs_percent</t>
  </si>
  <si>
    <t>evac_timing_error_ms</t>
  </si>
  <si>
    <t>evac_timing_error_percent</t>
  </si>
  <si>
    <t>ecs_minus_live_residual_ms</t>
  </si>
  <si>
    <t>evac_match_status</t>
  </si>
  <si>
    <t>evac_match_reason</t>
  </si>
  <si>
    <t>extra_or_optional_evac_timing_count</t>
  </si>
  <si>
    <t>gc_start_line</t>
  </si>
  <si>
    <t>gc_end_line</t>
  </si>
  <si>
    <t>ecs_line</t>
  </si>
  <si>
    <t>evac_timing_line</t>
  </si>
  <si>
    <t>worker_count</t>
  </si>
  <si>
    <t>worker_total</t>
  </si>
  <si>
    <t>heap_change</t>
  </si>
  <si>
    <t>window_reason</t>
  </si>
  <si>
    <t>Pause Young (Normal) (G1 Evacuation Pause)</t>
  </si>
  <si>
    <t>matched</t>
  </si>
  <si>
    <t>150M-&gt;54M(2080M)</t>
  </si>
  <si>
    <t>final GC summary lies inside DaCapo workload window</t>
  </si>
  <si>
    <t>202M-&gt;72M(2080M)</t>
  </si>
  <si>
    <t>96M-&gt;32M(696M)</t>
  </si>
  <si>
    <t>75M-&gt;24M(696M)</t>
  </si>
  <si>
    <t>47M-&gt;19M(696M)</t>
  </si>
  <si>
    <t>876M-&gt;212M(1164M)</t>
  </si>
  <si>
    <t>1590M-&gt;214M(2328M)</t>
  </si>
  <si>
    <t>879M-&gt;219M(1164M)</t>
  </si>
  <si>
    <t>1583M-&gt;214M(2328M)</t>
  </si>
  <si>
    <t>Pause Young (Normal) (G1 Preventive Collection)</t>
  </si>
  <si>
    <t>145M-&gt;145M(160M)</t>
  </si>
  <si>
    <t>883M-&gt;214M(2328M)</t>
  </si>
  <si>
    <t>1586M-&gt;219M(2328M)</t>
  </si>
  <si>
    <t>886M-&gt;219M(1164M)</t>
  </si>
  <si>
    <t>175M-&gt;42M(276M)</t>
  </si>
  <si>
    <t>876M-&gt;214M(1164M)</t>
  </si>
  <si>
    <t>10M-&gt;9M(20M)</t>
  </si>
  <si>
    <t>1283M-&gt;32M(2088M)</t>
  </si>
  <si>
    <t>8M-&gt;5M(16M)</t>
  </si>
  <si>
    <t>8M-&gt;6M(16M)</t>
  </si>
  <si>
    <t>586M-&gt;58M(904M)</t>
  </si>
  <si>
    <t>43M-&gt;15M(256M)</t>
  </si>
  <si>
    <t>158M-&gt;20M(256M)</t>
  </si>
  <si>
    <t>158M-&gt;14M(256M)</t>
  </si>
  <si>
    <t>534M-&gt;304M(3944M)</t>
  </si>
  <si>
    <t>232M-&gt;35M(336M)</t>
  </si>
  <si>
    <t>7M-&gt;4M(16M)</t>
  </si>
  <si>
    <t>548M-&gt;262M(1344M)</t>
  </si>
  <si>
    <t>182M-&gt;60M(276M)</t>
  </si>
  <si>
    <t>Pause Young (Concurrent Start) (G1 Preventive Collection)</t>
  </si>
  <si>
    <t>143M-&gt;141M(156M)</t>
  </si>
  <si>
    <t>991M-&gt;67M(1580M)</t>
  </si>
  <si>
    <t>472M-&gt;324M(3944M)</t>
  </si>
  <si>
    <t>39M-&gt;11M(256M)</t>
  </si>
  <si>
    <t>990M-&gt;63M(1580M)</t>
  </si>
  <si>
    <t>8M-&gt;4M(256M)</t>
  </si>
  <si>
    <t>29M-&gt;6M(256M)</t>
  </si>
  <si>
    <t>989M-&gt;55M(1580M)</t>
  </si>
  <si>
    <t>Pause Young (Concurrent Start) (Metadata GC Threshold)</t>
  </si>
  <si>
    <t>40M-&gt;9M(260M)</t>
  </si>
  <si>
    <t>9M-&gt;5M(256M)</t>
  </si>
  <si>
    <t>166M-&gt;90M(552M)</t>
  </si>
  <si>
    <t>142M-&gt;139M(152M)</t>
  </si>
  <si>
    <t>207M-&gt;47M(288M)</t>
  </si>
  <si>
    <t>504M-&gt;38M(1664M)</t>
  </si>
  <si>
    <t>116M-&gt;44M(260M)</t>
  </si>
  <si>
    <t>200M-&gt;28M(352M)</t>
  </si>
  <si>
    <t>127M-&gt;22M(276M)</t>
  </si>
  <si>
    <t>1282M-&gt;38M(2088M)</t>
  </si>
  <si>
    <t>25M-&gt;7M(256M)</t>
  </si>
  <si>
    <t>420M-&gt;180M(1164M)</t>
  </si>
  <si>
    <t>289M-&gt;47M(428M)</t>
  </si>
  <si>
    <t>223M-&gt;28M(336M)</t>
  </si>
  <si>
    <t>193M-&gt;35M(796M)</t>
  </si>
  <si>
    <t>1022M-&gt;38M(1664M)</t>
  </si>
  <si>
    <t>1282M-&gt;39M(2088M)</t>
  </si>
  <si>
    <t>291M-&gt;49M(428M)</t>
  </si>
  <si>
    <t>224M-&gt;180M(492M)</t>
  </si>
  <si>
    <t>1280M-&gt;40M(2088M)</t>
  </si>
  <si>
    <t>289M-&gt;51M(752M)</t>
  </si>
  <si>
    <t>45M-&gt;5M(256M)</t>
  </si>
  <si>
    <t>503M-&gt;40M(796M)</t>
  </si>
  <si>
    <t>Pause Young (Normal) (GCLocker Initiated GC)</t>
  </si>
  <si>
    <t>218M-&gt;17M(352M)</t>
  </si>
  <si>
    <t>1280M-&gt;38M(2088M)</t>
  </si>
  <si>
    <t>10M-&gt;8M(28M)</t>
  </si>
  <si>
    <t>1278M-&gt;38M(2088M)</t>
  </si>
  <si>
    <t>8M-&gt;4M(16M)</t>
  </si>
  <si>
    <t>1278M-&gt;39M(2088M)</t>
  </si>
  <si>
    <t>9M-&gt;5M(28M)</t>
  </si>
  <si>
    <t>204M-&gt;180M(492M)</t>
  </si>
  <si>
    <t>878M-&gt;18M(1440M)</t>
  </si>
  <si>
    <t>129M-&gt;17M(612M)</t>
  </si>
  <si>
    <t>8M-&gt;6M(28M)</t>
  </si>
  <si>
    <t>230M-&gt;27M(336M)</t>
  </si>
  <si>
    <t>167M-&gt;37M(796M)</t>
  </si>
  <si>
    <t>337M-&gt;39M(796M)</t>
  </si>
  <si>
    <t>50M-&gt;6M(256M)</t>
  </si>
  <si>
    <t>Pause Young (Concurrent Start) (G1 Humongous Allocation)</t>
  </si>
  <si>
    <t>9M-&gt;6M(28M)</t>
  </si>
  <si>
    <t>481M-&gt;47M(752M)</t>
  </si>
  <si>
    <t>879M-&gt;19M(1440M)</t>
  </si>
  <si>
    <t>1024M-&gt;38M(1664M)</t>
  </si>
  <si>
    <t>29M-&gt;24M(68M)</t>
  </si>
  <si>
    <t>153M-&gt;6M(256M)</t>
  </si>
  <si>
    <t>1022M-&gt;40M(1664M)</t>
  </si>
  <si>
    <t>481M-&gt;57M(1244M)</t>
  </si>
  <si>
    <t>117M-&gt;45M(148M)</t>
  </si>
  <si>
    <t>227M-&gt;38M(336M)</t>
  </si>
  <si>
    <t>1024M-&gt;40M(2088M)</t>
  </si>
  <si>
    <t>2737M-&gt;184M(4260M)</t>
  </si>
  <si>
    <t>8M-&gt;8M(28M)</t>
  </si>
  <si>
    <t>55M-&gt;35M(288M)</t>
  </si>
  <si>
    <t>117M-&gt;44M(148M)</t>
  </si>
  <si>
    <t>2736M-&gt;184M(4260M)</t>
  </si>
  <si>
    <t>220M-&gt;14M(352M)</t>
  </si>
  <si>
    <t>10M-&gt;6M(28M)</t>
  </si>
  <si>
    <t>809M-&gt;185M(4260M)</t>
  </si>
  <si>
    <t>12M-&gt;12M(260M)</t>
  </si>
  <si>
    <t>416M-&gt;180M(492M)</t>
  </si>
  <si>
    <t>373M-&gt;17M(612M)</t>
  </si>
  <si>
    <t>237M-&gt;49M(336M)</t>
  </si>
  <si>
    <t>269M-&gt;121M(528M)</t>
  </si>
  <si>
    <t>1279M-&gt;38M(2088M)</t>
  </si>
  <si>
    <t>987M-&gt;62M(1580M)</t>
  </si>
  <si>
    <t>12M-&gt;8M(260M)</t>
  </si>
  <si>
    <t>305M-&gt;20M(352M)</t>
  </si>
  <si>
    <t>Pause Young (Mixed) (G1 Evacuation Pause)</t>
  </si>
  <si>
    <t>15M-&gt;11M(56M)</t>
  </si>
  <si>
    <t>2736M-&gt;183M(4260M)</t>
  </si>
  <si>
    <t>207M-&gt;47M(428M)</t>
  </si>
  <si>
    <t>32M-&gt;15M(276M)</t>
  </si>
  <si>
    <t>52M-&gt;17M(256M)</t>
  </si>
  <si>
    <t>207M-&gt;56M(256M)</t>
  </si>
  <si>
    <t>991M-&gt;71M(1580M)</t>
  </si>
  <si>
    <t>879M-&gt;18M(1440M)</t>
  </si>
  <si>
    <t>878M-&gt;19M(1440M)</t>
  </si>
  <si>
    <t>373M-&gt;16M(612M)</t>
  </si>
  <si>
    <t>291M-&gt;45M(428M)</t>
  </si>
  <si>
    <t>221M-&gt;18M(352M)</t>
  </si>
  <si>
    <t>632M-&gt;17M(1040M)</t>
  </si>
  <si>
    <t>525M-&gt;16M(1040M)</t>
  </si>
  <si>
    <t>8M-&gt;4M(28M)</t>
  </si>
  <si>
    <t>372M-&gt;17M(612M)</t>
  </si>
  <si>
    <t>175M-&gt;18M(276M)</t>
  </si>
  <si>
    <t>55M-&gt;17M(260M)</t>
  </si>
  <si>
    <t>373M-&gt;16M(864M)</t>
  </si>
  <si>
    <t>214M-&gt;13M(352M)</t>
  </si>
  <si>
    <t>448M-&gt;52M(904M)</t>
  </si>
  <si>
    <t>24M-&gt;12M(260M)</t>
  </si>
  <si>
    <t>2686M-&gt;364M(3944M)</t>
  </si>
  <si>
    <t>174M-&gt;19M(276M)</t>
  </si>
  <si>
    <t>287M-&gt;235M(2340M)</t>
  </si>
  <si>
    <t>8M-&gt;5M(256M)</t>
  </si>
  <si>
    <t>633M-&gt;16M(1040M)</t>
  </si>
  <si>
    <t>524M-&gt;17M(864M)</t>
  </si>
  <si>
    <t>633M-&gt;17M(1040M)</t>
  </si>
  <si>
    <t>Pause Young (Prepare Mixed) (G1 Evacuation Pause)</t>
  </si>
  <si>
    <t>24M-&gt;11M(56M)</t>
  </si>
  <si>
    <t>131M-&gt;26M(336M)</t>
  </si>
  <si>
    <t>122M-&gt;78M(528M)</t>
  </si>
  <si>
    <t>494M-&gt;193M(588M)</t>
  </si>
  <si>
    <t>525M-&gt;16M(864M)</t>
  </si>
  <si>
    <t>845M-&gt;269M(1512M)</t>
  </si>
  <si>
    <t>588M-&gt;51M(904M)</t>
  </si>
  <si>
    <t>36M-&gt;15M(260M)</t>
  </si>
  <si>
    <t>483M-&gt;49M(752M)</t>
  </si>
  <si>
    <t>485M-&gt;194M(588M)</t>
  </si>
  <si>
    <t>7M-&gt;3M(16M)</t>
  </si>
  <si>
    <t>378M-&gt;22M(600M)</t>
  </si>
  <si>
    <t>27M-&gt;12M(56M)</t>
  </si>
  <si>
    <t>991M-&gt;65M(1580M)</t>
  </si>
  <si>
    <t>164M-&gt;27M(336M)</t>
  </si>
  <si>
    <t>735M-&gt;18M(1200M)</t>
  </si>
  <si>
    <t>478M-&gt;193M(588M)</t>
  </si>
  <si>
    <t>168M-&gt;18M(260M)</t>
  </si>
  <si>
    <t>990M-&gt;62M(1580M)</t>
  </si>
  <si>
    <t>594M-&gt;19M(1200M)</t>
  </si>
  <si>
    <t>407M-&gt;19M(656M)</t>
  </si>
  <si>
    <t>154M-&gt;37M(324M)</t>
  </si>
  <si>
    <t>151M-&gt;150M(280M)</t>
  </si>
  <si>
    <t>734M-&gt;19M(1200M)</t>
  </si>
  <si>
    <t>407M-&gt;18M(656M)</t>
  </si>
  <si>
    <t>34M-&gt;14M(56M)</t>
  </si>
  <si>
    <t>10M-&gt;6M(260M)</t>
  </si>
  <si>
    <t>452M-&gt;194M(588M)</t>
  </si>
  <si>
    <t>170M-&gt;18M(260M)</t>
  </si>
  <si>
    <t>594M-&gt;19M(972M)</t>
  </si>
  <si>
    <t>36M-&gt;14M(56M)</t>
  </si>
  <si>
    <t>406M-&gt;18M(972M)</t>
  </si>
  <si>
    <t>38M-&gt;11M(260M)</t>
  </si>
  <si>
    <t>230M-&gt;167M(288M)</t>
  </si>
  <si>
    <t>505M-&gt;193M(588M)</t>
  </si>
  <si>
    <t>170M-&gt;19M(656M)</t>
  </si>
  <si>
    <t>500M-&gt;193M(588M)</t>
  </si>
  <si>
    <t>115M-&gt;99M(780M)</t>
  </si>
  <si>
    <t>68M-&gt;29M(280M)</t>
  </si>
  <si>
    <t>497M-&gt;192M(588M)</t>
  </si>
  <si>
    <t>595M-&gt;18M(972M)</t>
  </si>
  <si>
    <t>594M-&gt;18M(972M)</t>
  </si>
  <si>
    <t>753M-&gt;308M(3720M)</t>
  </si>
  <si>
    <t>989M-&gt;62M(1580M)</t>
  </si>
  <si>
    <t>200M-&gt;180M(492M)</t>
  </si>
  <si>
    <t>40M-&gt;18M(276M)</t>
  </si>
  <si>
    <t>30M-&gt;6M(256M)</t>
  </si>
  <si>
    <t>214M-&gt;30M(336M)</t>
  </si>
  <si>
    <t>54M-&gt;22M(276M)</t>
  </si>
  <si>
    <t>9M-&gt;6M(256M)</t>
  </si>
  <si>
    <t>36M-&gt;28M(280M)</t>
  </si>
  <si>
    <t>176M-&gt;78M(552M)</t>
  </si>
  <si>
    <t>735M-&gt;19M(1200M)</t>
  </si>
  <si>
    <t>735M-&gt;19M(1440M)</t>
  </si>
  <si>
    <t>222M-&gt;41M(336M)</t>
  </si>
  <si>
    <t>483M-&gt;45M(752M)</t>
  </si>
  <si>
    <t>31M-&gt;21M(68M)</t>
  </si>
  <si>
    <t>1311M-&gt;348M(3944M)</t>
  </si>
  <si>
    <t>779M-&gt;57M(1580M)</t>
  </si>
  <si>
    <t>55M-&gt;28M(80M)</t>
  </si>
  <si>
    <t>39M-&gt;10M(260M)</t>
  </si>
  <si>
    <t>223M-&gt;171M(2340M)</t>
  </si>
  <si>
    <t>199M-&gt;22M(308M)</t>
  </si>
  <si>
    <t>33M-&gt;14M(276M)</t>
  </si>
  <si>
    <t>198M-&gt;22M(400M)</t>
  </si>
  <si>
    <t>779M-&gt;51M(1244M)</t>
  </si>
  <si>
    <t>198M-&gt;22M(308M)</t>
  </si>
  <si>
    <t>86M-&gt;23M(308M)</t>
  </si>
  <si>
    <t>120M-&gt;66M(176M)</t>
  </si>
  <si>
    <t>52M-&gt;28M(280M)</t>
  </si>
  <si>
    <t>1121M-&gt;65M(2056M)</t>
  </si>
  <si>
    <t>171M-&gt;167M(288M)</t>
  </si>
  <si>
    <t>176M-&gt;22M(276M)</t>
  </si>
  <si>
    <t>198M-&gt;180M(492M)</t>
  </si>
  <si>
    <t>280M-&gt;65M(380M)</t>
  </si>
  <si>
    <t>203M-&gt;46M(288M)</t>
  </si>
  <si>
    <t>3136M-&gt;726M(4148M)</t>
  </si>
  <si>
    <t>154M-&gt;6M(256M)</t>
  </si>
  <si>
    <t>178M-&gt;20M(276M)</t>
  </si>
  <si>
    <t>1293M-&gt;65M(2056M)</t>
  </si>
  <si>
    <t>435M-&gt;65M(644M)</t>
  </si>
  <si>
    <t>964M-&gt;333M(3720M)</t>
  </si>
  <si>
    <t>529M-&gt;185M(4260M)</t>
  </si>
  <si>
    <t>259M-&gt;51M(372M)</t>
  </si>
  <si>
    <t>785M-&gt;65M(1776M)</t>
  </si>
  <si>
    <t>777M-&gt;51M(1244M)</t>
  </si>
  <si>
    <t>1309M-&gt;552M(3720M)</t>
  </si>
  <si>
    <t>52M-&gt;31M(80M)</t>
  </si>
  <si>
    <t>202M-&gt;43M(288M)</t>
  </si>
  <si>
    <t>785M-&gt;65M(1224M)</t>
  </si>
  <si>
    <t>128M-&gt;42M(696M)</t>
  </si>
  <si>
    <t>704M-&gt;328M(3944M)</t>
  </si>
  <si>
    <t>221M-&gt;45M(336M)</t>
  </si>
  <si>
    <t>Pause Young (Concurrent Start) (G1 Evacuation Pause)</t>
  </si>
  <si>
    <t>227M-&gt;171M(588M)</t>
  </si>
  <si>
    <t>145M-&gt;58M(380M)</t>
  </si>
  <si>
    <t>56M-&gt;28M(80M)</t>
  </si>
  <si>
    <t>149M-&gt;148M(492M)</t>
  </si>
  <si>
    <t>254M-&gt;22M(400M)</t>
  </si>
  <si>
    <t>278M-&gt;64M(380M)</t>
  </si>
  <si>
    <t>281M-&gt;63M(644M)</t>
  </si>
  <si>
    <t>Pause Young (Concurrent Start) (GCLocker Initiated GC)</t>
  </si>
  <si>
    <t>27M-&gt;8M(256M)</t>
  </si>
  <si>
    <t>77M-&gt;42M(324M)</t>
  </si>
  <si>
    <t>195M-&gt;51M(372M)</t>
  </si>
  <si>
    <t>435M-&gt;63M(644M)</t>
  </si>
  <si>
    <t>314M-&gt;22M(500M)</t>
  </si>
  <si>
    <t>105M-&gt;51M(256M)</t>
  </si>
  <si>
    <t>437M-&gt;65M(644M)</t>
  </si>
  <si>
    <t>437M-&gt;65M(1224M)</t>
  </si>
  <si>
    <t>194M-&gt;51M(260M)</t>
  </si>
  <si>
    <t>278M-&gt;62M(380M)</t>
  </si>
  <si>
    <t>314M-&gt;23M(500M)</t>
  </si>
  <si>
    <t>259M-&gt;51M(668M)</t>
  </si>
  <si>
    <t>3136M-&gt;756M(4888M)</t>
  </si>
  <si>
    <t>254M-&gt;22M(500M)</t>
  </si>
  <si>
    <t>98M-&gt;22M(120M)</t>
  </si>
  <si>
    <t>256M-&gt;90M(2080M)</t>
  </si>
  <si>
    <t>1850M-&gt;688M(4148M)</t>
  </si>
  <si>
    <t>101M-&gt;87M(780M)</t>
  </si>
  <si>
    <t>13M-&gt;13M(260M)</t>
  </si>
  <si>
    <t>439M-&gt;51M(668M)</t>
  </si>
  <si>
    <t>1117M-&gt;65M(1776M)</t>
  </si>
  <si>
    <t>319M-&gt;22M(600M)</t>
  </si>
  <si>
    <t>127M-&gt;115M(2340M)</t>
  </si>
  <si>
    <t>27M-&gt;27M(260M)</t>
  </si>
  <si>
    <t>35M-&gt;34M(260M)</t>
  </si>
  <si>
    <t>3138M-&gt;740M(4148M)</t>
  </si>
  <si>
    <t>439M-&gt;52M(668M)</t>
  </si>
  <si>
    <t>196M-&gt;50M(260M)</t>
  </si>
  <si>
    <t>196M-&gt;48M(260M)</t>
  </si>
  <si>
    <t>21M-&gt;19M(260M)</t>
  </si>
  <si>
    <t>439M-&gt;79M(668M)</t>
  </si>
  <si>
    <t>262M-&gt;105M(528M)</t>
  </si>
  <si>
    <t>178M-&gt;102M(552M)</t>
  </si>
  <si>
    <t>461M-&gt;181M(4260M)</t>
  </si>
  <si>
    <t>2686M-&gt;362M(3944M)</t>
  </si>
  <si>
    <t>1834M-&gt;674M(2176M)</t>
  </si>
  <si>
    <t>546M-&gt;215M(1512M)</t>
  </si>
  <si>
    <t>377M-&gt;178M(1512M)</t>
  </si>
  <si>
    <t>399M-&gt;196M(588M)</t>
  </si>
  <si>
    <t>42M-&gt;42M(780M)</t>
  </si>
  <si>
    <t>423M-&gt;195M(588M)</t>
  </si>
  <si>
    <t>168M-&gt;166M(492M)</t>
  </si>
  <si>
    <t>587M-&gt;50M(904M)</t>
  </si>
  <si>
    <t>306M-&gt;179M(1344M)</t>
  </si>
  <si>
    <t>132M-&gt;130M(1344M)</t>
  </si>
  <si>
    <t>551M-&gt;229M(1512M)</t>
  </si>
  <si>
    <t>74M-&gt;73M(780M)</t>
  </si>
  <si>
    <t>3580M-&gt;804M(4888M)</t>
  </si>
  <si>
    <t>3136M-&gt;708M(4148M)</t>
  </si>
  <si>
    <t>387M-&gt;145M(4260M)</t>
  </si>
  <si>
    <t>373M-&gt;145M(528M)</t>
  </si>
  <si>
    <t>487M-&gt;216M(1344M)</t>
  </si>
  <si>
    <t>3580M-&gt;820M(5816M)</t>
  </si>
  <si>
    <t>410M-&gt;162M(1344M)</t>
  </si>
  <si>
    <t>270M-&gt;128M(552M)</t>
  </si>
  <si>
    <t>134M-&gt;54M(176M)</t>
  </si>
  <si>
    <t>302M-&gt;115M(2080M)</t>
  </si>
  <si>
    <t>58M-&gt;56M(176M)</t>
  </si>
  <si>
    <t>2513M-&gt;501M(3720M)</t>
  </si>
  <si>
    <t>4136M-&gt;838M(5816M)</t>
  </si>
  <si>
    <t>3580M-&gt;788M(4888M)</t>
  </si>
  <si>
    <t>3580M-&gt;772M(4888M)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</si>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</sst>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83"/>
  <sheetViews>
    <sheetView tabSelected="1" zoomScale="130" zoomScaleNormal="130" topLeftCell="A267" workbookViewId="0">
      <selection activeCell="C284" sqref="C284"/>
    </sheetView>
  </sheetViews>
  <sheetFormatPr defaultColWidth="8.88524590163934" defaultRowHeight="17.65"/>
  <cols>
    <col min="1" max="1" width="8.88524590163934" style="1"/>
    <col min="2" max="2" width="27.7213114754098" style="1" customWidth="1"/>
    <col min="3" max="3" width="10.5737704918033" style="1" customWidth="1"/>
    <col min="4" max="16384" width="8.88524590163934" style="1"/>
  </cols>
  <sheetData>
    <row r="1" spans="1:10">
      <c r="A1" s="1" t="s">
        <v>0</v>
      </c>
    </row>
    <row r="2" spans="1:10">
      <c r="C2" s="1" t="s">
        <v>1</v>
      </c>
    </row>
    <row r="3" spans="1:10">
      <c r="A3" s="1" t="s">
        <v>2</v>
      </c>
      <c r="C3" s="1">
        <v>0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</row>
    <row r="4" spans="1:10">
      <c r="A4" s="1" t="s">
        <v>3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</row>
    <row r="5" spans="1:10">
      <c r="A5" s="1" t="s">
        <v>6</v>
      </c>
      <c r="B5" s="1" t="s">
        <v>7</v>
      </c>
      <c r="C5" s="1">
        <v>0.03</v>
      </c>
      <c r="D5" s="1">
        <v>0.02</v>
      </c>
      <c r="F5" s="1">
        <v>0.04</v>
      </c>
      <c r="G5" s="1">
        <v>0.02</v>
      </c>
      <c r="H5" s="1">
        <v>0.02</v>
      </c>
      <c r="I5" s="1">
        <v>0.03</v>
      </c>
      <c r="J5" s="1">
        <v>0.03</v>
      </c>
    </row>
    <row r="6" spans="1:10">
      <c r="B6" s="1" t="s">
        <v>8</v>
      </c>
      <c r="C6" s="2">
        <v>0.1</v>
      </c>
      <c r="D6" s="2">
        <v>0.02</v>
      </c>
      <c r="F6" s="1">
        <v>0.03</v>
      </c>
      <c r="G6" s="1">
        <v>0.02</v>
      </c>
      <c r="H6" s="1">
        <v>0.02</v>
      </c>
      <c r="I6" s="1">
        <v>0.03</v>
      </c>
      <c r="J6" s="1">
        <v>0.03</v>
      </c>
    </row>
    <row r="7" spans="1:10">
      <c r="B7" s="1" t="s">
        <v>9</v>
      </c>
      <c r="C7" s="1">
        <v>5.64</v>
      </c>
      <c r="D7" s="1">
        <v>2.72</v>
      </c>
      <c r="F7" s="1">
        <v>1.35</v>
      </c>
      <c r="G7" s="1">
        <v>2.57</v>
      </c>
      <c r="H7" s="2">
        <v>4.2</v>
      </c>
      <c r="I7" s="1">
        <v>3.18</v>
      </c>
      <c r="J7" s="1">
        <v>4.16</v>
      </c>
    </row>
    <row r="8" spans="1:10">
      <c r="B8" s="1" t="s">
        <v>10</v>
      </c>
      <c r="C8" s="1">
        <v>0.17</v>
      </c>
      <c r="D8" s="1">
        <v>0.17</v>
      </c>
      <c r="F8" s="1">
        <v>0.16</v>
      </c>
      <c r="G8" s="2">
        <v>0.2</v>
      </c>
      <c r="H8" s="1">
        <v>0.66</v>
      </c>
      <c r="I8" s="1">
        <v>0.44</v>
      </c>
      <c r="J8" s="1">
        <v>0.14</v>
      </c>
    </row>
    <row r="9" spans="1:10">
      <c r="B9" s="1" t="s">
        <v>11</v>
      </c>
      <c r="C9" s="1">
        <v>0.05</v>
      </c>
      <c r="D9" s="1">
        <v>0.05</v>
      </c>
      <c r="F9" s="1">
        <v>0.06</v>
      </c>
      <c r="G9" s="1">
        <v>0.06</v>
      </c>
      <c r="H9" s="1">
        <v>0.06</v>
      </c>
      <c r="I9" s="1">
        <v>0.07</v>
      </c>
      <c r="J9" s="1">
        <v>0.05</v>
      </c>
    </row>
    <row r="10" spans="1:10">
      <c r="A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</row>
    <row r="11" spans="1:10">
      <c r="A11" s="1" t="s">
        <v>21</v>
      </c>
      <c r="C11" s="1">
        <v>6.026</v>
      </c>
      <c r="D11" s="1">
        <v>3.019</v>
      </c>
      <c r="E11" s="1">
        <v>8.267</v>
      </c>
      <c r="F11" s="1">
        <v>1.685</v>
      </c>
      <c r="G11" s="1">
        <v>2.292</v>
      </c>
      <c r="H11" s="1">
        <v>4.995</v>
      </c>
      <c r="I11" s="1">
        <v>3.801</v>
      </c>
      <c r="J11" s="1">
        <v>4.446</v>
      </c>
    </row>
    <row r="12" spans="1:10">
      <c r="A12" s="1" t="s">
        <v>22</v>
      </c>
      <c r="C12" s="1">
        <f>C11+D11+E11+F11+G11+H11+I11+J11</f>
        <v>34.531</v>
      </c>
    </row>
    <row r="13" spans="1:10">
      <c r="A13" s="1" t="s">
        <v>23</v>
      </c>
      <c r="C13" s="1">
        <v>4039</v>
      </c>
    </row>
    <row r="14" spans="1:10">
      <c r="A14" s="1" t="s">
        <v>24</v>
      </c>
      <c r="C14" s="3">
        <f>C12/C13</f>
        <v>0.00854939341421144</v>
      </c>
      <c r="D14" s="3"/>
      <c r="E14" s="3"/>
      <c r="F14" s="3"/>
      <c r="G14" s="3"/>
      <c r="H14" s="3"/>
      <c r="I14" s="3"/>
      <c r="J14" s="3"/>
    </row>
    <row r="15" spans="1:10">
      <c r="A15" s="1" t="s">
        <v>25</v>
      </c>
      <c r="C15" s="3">
        <f>SUMIF(C4:J4,"Young",C11:J11)/C13</f>
        <v>0.00650259965337955</v>
      </c>
    </row>
    <row r="16" spans="1:10">
      <c r="C16" s="1" t="s">
        <v>26</v>
      </c>
    </row>
    <row r="17" spans="1:25">
      <c r="A17" s="1" t="s">
        <v>2</v>
      </c>
      <c r="C17" s="1">
        <v>0</v>
      </c>
      <c r="D17" s="1">
        <v>1</v>
      </c>
      <c r="E17" s="1">
        <v>2</v>
      </c>
      <c r="F17" s="1">
        <v>3</v>
      </c>
      <c r="G17" s="1">
        <v>4</v>
      </c>
      <c r="H17" s="1">
        <v>5</v>
      </c>
      <c r="I17" s="1">
        <v>6</v>
      </c>
      <c r="J17" s="1">
        <v>7</v>
      </c>
      <c r="K17" s="1">
        <v>8</v>
      </c>
      <c r="L17" s="1">
        <v>9</v>
      </c>
      <c r="M17" s="1">
        <v>10</v>
      </c>
      <c r="N17" s="1">
        <v>11</v>
      </c>
      <c r="O17" s="1">
        <v>12</v>
      </c>
      <c r="P17" s="1">
        <v>13</v>
      </c>
      <c r="Q17" s="1">
        <v>14</v>
      </c>
    </row>
    <row r="18" spans="1:25">
      <c r="A18" s="1" t="s">
        <v>3</v>
      </c>
      <c r="C18" s="1" t="s">
        <v>5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</row>
    <row r="19" spans="1:25">
      <c r="A19" s="1" t="s">
        <v>6</v>
      </c>
      <c r="B19" s="1" t="s">
        <v>7</v>
      </c>
      <c r="D19" s="1">
        <v>0.05</v>
      </c>
      <c r="E19" s="1">
        <v>0.03</v>
      </c>
      <c r="F19" s="1">
        <v>0.03</v>
      </c>
      <c r="G19" s="1">
        <v>0.03</v>
      </c>
      <c r="H19" s="1">
        <v>0.04</v>
      </c>
      <c r="I19" s="1">
        <v>0.04</v>
      </c>
      <c r="J19" s="1">
        <v>0.05</v>
      </c>
      <c r="K19" s="1">
        <v>0.04</v>
      </c>
      <c r="L19" s="1">
        <v>0.07</v>
      </c>
      <c r="M19" s="1">
        <v>0.04</v>
      </c>
      <c r="N19" s="1">
        <v>0.03</v>
      </c>
      <c r="O19" s="1">
        <v>0.05</v>
      </c>
      <c r="P19" s="1">
        <v>0.11</v>
      </c>
      <c r="Q19" s="1">
        <v>0.04</v>
      </c>
    </row>
    <row r="20" spans="1:25">
      <c r="B20" s="1" t="s">
        <v>8</v>
      </c>
      <c r="D20" s="1">
        <v>0.18</v>
      </c>
      <c r="E20" s="1">
        <v>0.02</v>
      </c>
      <c r="F20" s="1">
        <v>0.03</v>
      </c>
      <c r="G20" s="1">
        <v>0.02</v>
      </c>
      <c r="H20" s="1">
        <v>0.03</v>
      </c>
      <c r="I20" s="1">
        <v>0.05</v>
      </c>
      <c r="J20" s="1">
        <v>0.09</v>
      </c>
      <c r="K20" s="1">
        <v>0.07</v>
      </c>
      <c r="L20" s="1">
        <v>0.06</v>
      </c>
      <c r="M20" s="1">
        <v>0.08</v>
      </c>
      <c r="N20" s="1">
        <v>0.09</v>
      </c>
      <c r="O20" s="1">
        <v>0.06</v>
      </c>
      <c r="P20" s="1">
        <v>0.21</v>
      </c>
      <c r="Q20" s="1">
        <v>0.24</v>
      </c>
    </row>
    <row r="21" spans="1:25">
      <c r="B21" s="1" t="s">
        <v>9</v>
      </c>
      <c r="D21" s="1">
        <v>1.89</v>
      </c>
      <c r="E21" s="1">
        <v>3.64</v>
      </c>
      <c r="F21" s="1">
        <v>7.16</v>
      </c>
      <c r="G21" s="1">
        <v>5.25</v>
      </c>
      <c r="H21" s="1">
        <v>9.77</v>
      </c>
      <c r="I21" s="1">
        <v>9.96</v>
      </c>
      <c r="J21" s="1">
        <v>10.56</v>
      </c>
      <c r="K21" s="1">
        <v>11.11</v>
      </c>
      <c r="L21" s="1">
        <v>33.29</v>
      </c>
      <c r="M21" s="1">
        <v>19.41</v>
      </c>
      <c r="N21" s="1">
        <v>18.5</v>
      </c>
      <c r="O21" s="1">
        <v>20.09</v>
      </c>
      <c r="P21" s="1">
        <v>66.16</v>
      </c>
      <c r="Q21" s="1">
        <v>55.85</v>
      </c>
    </row>
    <row r="22" spans="1:25">
      <c r="B22" s="1" t="s">
        <v>10</v>
      </c>
      <c r="D22" s="1">
        <v>0.16</v>
      </c>
      <c r="E22" s="1">
        <v>0.2</v>
      </c>
      <c r="F22" s="1">
        <v>0.18</v>
      </c>
      <c r="G22" s="1">
        <v>0.66</v>
      </c>
      <c r="H22" s="1">
        <v>0.13</v>
      </c>
      <c r="I22" s="1">
        <v>0.18</v>
      </c>
      <c r="J22" s="1">
        <v>0.15</v>
      </c>
      <c r="K22" s="1">
        <v>1.38</v>
      </c>
      <c r="L22" s="1">
        <v>0.23</v>
      </c>
      <c r="M22" s="1">
        <v>0.37</v>
      </c>
      <c r="N22" s="1">
        <v>0.27</v>
      </c>
      <c r="O22" s="1">
        <v>4.52</v>
      </c>
      <c r="P22" s="1">
        <v>0.18</v>
      </c>
      <c r="Q22" s="1">
        <v>0.38</v>
      </c>
    </row>
    <row r="23" spans="1:25">
      <c r="B23" s="1" t="s">
        <v>11</v>
      </c>
      <c r="D23" s="1">
        <v>0.06</v>
      </c>
      <c r="E23" s="1">
        <v>0.06</v>
      </c>
      <c r="F23" s="1">
        <v>0.07</v>
      </c>
      <c r="G23" s="1">
        <v>0.08</v>
      </c>
      <c r="H23" s="1">
        <v>0.07</v>
      </c>
      <c r="I23" s="1">
        <v>0.08</v>
      </c>
      <c r="J23" s="1">
        <v>0.1</v>
      </c>
      <c r="K23" s="1">
        <v>0.07</v>
      </c>
      <c r="L23" s="1">
        <v>0.09</v>
      </c>
      <c r="M23" s="1">
        <v>0.07</v>
      </c>
      <c r="N23" s="1">
        <v>0.07</v>
      </c>
      <c r="O23" s="1">
        <v>0.09</v>
      </c>
      <c r="P23" s="1">
        <v>0.09</v>
      </c>
      <c r="Q23" s="1">
        <v>0.1</v>
      </c>
    </row>
    <row r="24" spans="1:25">
      <c r="A24" s="1" t="s">
        <v>12</v>
      </c>
      <c r="C24" s="1" t="s">
        <v>27</v>
      </c>
      <c r="D24" s="1" t="s">
        <v>16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s">
        <v>33</v>
      </c>
      <c r="K24" s="1" t="s">
        <v>34</v>
      </c>
      <c r="L24" s="1" t="s">
        <v>35</v>
      </c>
      <c r="M24" s="1" t="s">
        <v>36</v>
      </c>
      <c r="N24" s="1" t="s">
        <v>37</v>
      </c>
      <c r="O24" s="1" t="s">
        <v>38</v>
      </c>
      <c r="P24" s="1" t="s">
        <v>39</v>
      </c>
      <c r="Q24" s="1" t="s">
        <v>40</v>
      </c>
    </row>
    <row r="25" spans="1:25">
      <c r="A25" s="1" t="s">
        <v>21</v>
      </c>
      <c r="C25" s="1">
        <v>10.752</v>
      </c>
      <c r="D25" s="1">
        <v>2.377</v>
      </c>
      <c r="E25" s="1">
        <v>4.017</v>
      </c>
      <c r="F25" s="1">
        <v>7.527</v>
      </c>
      <c r="G25" s="1">
        <v>6.082</v>
      </c>
      <c r="H25" s="1">
        <v>10.084</v>
      </c>
      <c r="I25" s="1">
        <v>10.372</v>
      </c>
      <c r="J25" s="1">
        <v>10.99</v>
      </c>
      <c r="K25" s="1">
        <v>12.694</v>
      </c>
      <c r="L25" s="1">
        <v>33.799</v>
      </c>
      <c r="M25" s="1">
        <v>20.047</v>
      </c>
      <c r="N25" s="1">
        <v>19.033</v>
      </c>
      <c r="O25" s="1">
        <v>24.845</v>
      </c>
      <c r="P25" s="1">
        <v>66.805</v>
      </c>
      <c r="Q25" s="1">
        <v>56.703</v>
      </c>
    </row>
    <row r="26" spans="1:25">
      <c r="A26" s="1" t="s">
        <v>22</v>
      </c>
      <c r="C26" s="1">
        <f>C25+D25+E25+F25+G25+H25+I25+J25+K25+L25+M25+N25+O25+P25+Q25</f>
        <v>296.127</v>
      </c>
    </row>
    <row r="27" spans="1:25">
      <c r="A27" s="1" t="s">
        <v>23</v>
      </c>
      <c r="C27" s="1">
        <v>2087</v>
      </c>
    </row>
    <row r="28" spans="1:25">
      <c r="A28" s="1" t="s">
        <v>24</v>
      </c>
      <c r="C28" s="3">
        <f>C26/C27</f>
        <v>0.141891231432678</v>
      </c>
    </row>
    <row r="29" spans="1:25">
      <c r="A29" s="1" t="s">
        <v>25</v>
      </c>
      <c r="C29" s="3">
        <f>SUMIF(C18:Q18,"Young",C25:Q25)/C27</f>
        <v>0.136739338763776</v>
      </c>
    </row>
    <row r="30" spans="1:25">
      <c r="C30" s="1" t="s">
        <v>41</v>
      </c>
    </row>
    <row r="31" spans="1:25">
      <c r="A31" s="1" t="s">
        <v>2</v>
      </c>
      <c r="C31" s="1">
        <v>0</v>
      </c>
      <c r="D31" s="1">
        <v>1</v>
      </c>
      <c r="E31" s="1">
        <v>2</v>
      </c>
      <c r="F31" s="1">
        <v>3</v>
      </c>
      <c r="G31" s="1">
        <v>4</v>
      </c>
      <c r="H31" s="1">
        <v>5</v>
      </c>
      <c r="I31" s="1">
        <v>6</v>
      </c>
      <c r="J31" s="1">
        <v>7</v>
      </c>
      <c r="K31" s="1">
        <v>8</v>
      </c>
      <c r="L31" s="1">
        <v>9</v>
      </c>
      <c r="M31" s="1">
        <v>10</v>
      </c>
      <c r="N31" s="1">
        <v>11</v>
      </c>
      <c r="O31" s="1">
        <v>12</v>
      </c>
      <c r="P31" s="1">
        <v>13</v>
      </c>
      <c r="Q31" s="1">
        <v>14</v>
      </c>
      <c r="R31" s="1">
        <v>15</v>
      </c>
      <c r="S31" s="1">
        <v>16</v>
      </c>
      <c r="T31" s="1">
        <v>17</v>
      </c>
      <c r="U31" s="1">
        <v>18</v>
      </c>
      <c r="V31" s="1">
        <v>19</v>
      </c>
      <c r="W31" s="1">
        <v>20</v>
      </c>
      <c r="X31" s="1">
        <v>21</v>
      </c>
      <c r="Y31" s="1">
        <v>22</v>
      </c>
    </row>
    <row r="32" spans="1:25">
      <c r="A32" s="1" t="s">
        <v>3</v>
      </c>
      <c r="C32" s="1" t="s">
        <v>5</v>
      </c>
      <c r="D32" s="1" t="s">
        <v>4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</row>
    <row r="33" spans="1:39">
      <c r="A33" s="1" t="s">
        <v>6</v>
      </c>
      <c r="B33" s="1" t="s">
        <v>7</v>
      </c>
      <c r="D33" s="1">
        <v>0.03</v>
      </c>
      <c r="E33" s="1">
        <v>0.02</v>
      </c>
      <c r="F33" s="1">
        <v>0.02</v>
      </c>
      <c r="G33" s="1">
        <v>0.03</v>
      </c>
      <c r="H33" s="1">
        <v>0.03</v>
      </c>
      <c r="I33" s="1">
        <v>0.03</v>
      </c>
      <c r="J33" s="1">
        <v>0.03</v>
      </c>
      <c r="K33" s="1">
        <v>0.04</v>
      </c>
      <c r="L33" s="1">
        <v>0.06</v>
      </c>
      <c r="M33" s="1">
        <v>0.08</v>
      </c>
      <c r="N33" s="1">
        <v>0.07</v>
      </c>
      <c r="O33" s="1">
        <v>0.07</v>
      </c>
      <c r="P33" s="1">
        <v>0.1</v>
      </c>
      <c r="Q33" s="1">
        <v>0.06</v>
      </c>
      <c r="R33" s="1">
        <v>0.06</v>
      </c>
      <c r="S33" s="1">
        <v>0.04</v>
      </c>
      <c r="T33" s="1">
        <v>0.06</v>
      </c>
      <c r="U33" s="1">
        <v>0.08</v>
      </c>
      <c r="V33" s="1">
        <v>0.14</v>
      </c>
      <c r="W33" s="1">
        <v>0.06</v>
      </c>
      <c r="X33" s="1">
        <v>0.06</v>
      </c>
      <c r="Y33" s="1">
        <v>0.06</v>
      </c>
    </row>
    <row r="34" spans="1:39">
      <c r="B34" s="1" t="s">
        <v>8</v>
      </c>
      <c r="D34" s="1">
        <v>0.12</v>
      </c>
      <c r="E34" s="1">
        <v>0.02</v>
      </c>
      <c r="F34" s="1">
        <v>0.02</v>
      </c>
      <c r="G34" s="1">
        <v>0.03</v>
      </c>
      <c r="H34" s="1">
        <v>0.03</v>
      </c>
      <c r="I34" s="1">
        <v>0.04</v>
      </c>
      <c r="J34" s="1">
        <v>0.02</v>
      </c>
      <c r="K34" s="1">
        <v>0.03</v>
      </c>
      <c r="L34" s="1">
        <v>0.03</v>
      </c>
      <c r="M34" s="1">
        <v>0.05</v>
      </c>
      <c r="N34" s="1">
        <v>0.05</v>
      </c>
      <c r="O34" s="1">
        <v>0.05</v>
      </c>
      <c r="P34" s="1">
        <v>0.05</v>
      </c>
      <c r="Q34" s="1">
        <v>0.05</v>
      </c>
      <c r="R34" s="1">
        <v>0.04</v>
      </c>
      <c r="S34" s="1">
        <v>0.05</v>
      </c>
      <c r="T34" s="1">
        <v>0.03</v>
      </c>
      <c r="U34" s="1">
        <v>0.04</v>
      </c>
      <c r="V34" s="1">
        <v>0.12</v>
      </c>
      <c r="W34" s="1">
        <v>0.05</v>
      </c>
      <c r="X34" s="1">
        <v>0.05</v>
      </c>
      <c r="Y34" s="1">
        <v>0.05</v>
      </c>
    </row>
    <row r="35" spans="1:39">
      <c r="B35" s="1" t="s">
        <v>9</v>
      </c>
      <c r="D35" s="1">
        <v>0.86</v>
      </c>
      <c r="E35" s="1">
        <v>0.65</v>
      </c>
      <c r="F35" s="1">
        <v>2.32</v>
      </c>
      <c r="G35" s="1">
        <v>2.42</v>
      </c>
      <c r="H35" s="1">
        <v>6.2</v>
      </c>
      <c r="I35" s="1">
        <v>4.53</v>
      </c>
      <c r="J35" s="1">
        <v>3.52</v>
      </c>
      <c r="K35" s="1">
        <v>6.01</v>
      </c>
      <c r="L35" s="1">
        <v>6.58</v>
      </c>
      <c r="M35" s="1">
        <v>9.24</v>
      </c>
      <c r="N35" s="1">
        <v>14.11</v>
      </c>
      <c r="O35" s="1">
        <v>13.95</v>
      </c>
      <c r="P35" s="1">
        <v>21.58</v>
      </c>
      <c r="Q35" s="1">
        <v>24.63</v>
      </c>
      <c r="R35" s="1">
        <v>25.72</v>
      </c>
      <c r="S35" s="1">
        <v>32.06</v>
      </c>
      <c r="T35" s="1">
        <v>33.35</v>
      </c>
      <c r="U35" s="1">
        <v>15.66</v>
      </c>
      <c r="V35" s="1">
        <v>8.81</v>
      </c>
      <c r="W35" s="1">
        <v>8.47</v>
      </c>
      <c r="X35" s="1">
        <v>7.03</v>
      </c>
      <c r="Y35" s="1">
        <v>7.46</v>
      </c>
    </row>
    <row r="36" spans="1:39">
      <c r="B36" s="1" t="s">
        <v>10</v>
      </c>
      <c r="D36" s="1">
        <v>0.12</v>
      </c>
      <c r="E36" s="1">
        <v>0.13</v>
      </c>
      <c r="F36" s="1">
        <v>0.16</v>
      </c>
      <c r="G36" s="1">
        <v>0.5</v>
      </c>
      <c r="H36" s="1">
        <v>0.28</v>
      </c>
      <c r="I36" s="1">
        <v>0.22</v>
      </c>
      <c r="J36" s="1">
        <v>0.2</v>
      </c>
      <c r="K36" s="1">
        <v>0.94</v>
      </c>
      <c r="L36" s="1">
        <v>0.15</v>
      </c>
      <c r="M36" s="1">
        <v>0.16</v>
      </c>
      <c r="N36" s="1">
        <v>0.17</v>
      </c>
      <c r="O36" s="1">
        <v>3.1</v>
      </c>
      <c r="P36" s="1">
        <v>0.19</v>
      </c>
      <c r="Q36" s="1">
        <v>0.19</v>
      </c>
      <c r="R36" s="1">
        <v>0.18</v>
      </c>
      <c r="S36" s="1">
        <v>5.09</v>
      </c>
      <c r="T36" s="1">
        <v>0.3</v>
      </c>
      <c r="U36" s="1">
        <v>0.37</v>
      </c>
      <c r="V36" s="1">
        <v>0.48</v>
      </c>
      <c r="W36" s="1">
        <v>0.47</v>
      </c>
      <c r="X36" s="1">
        <v>0.42</v>
      </c>
      <c r="Y36" s="1">
        <v>0.46</v>
      </c>
    </row>
    <row r="37" spans="1:39">
      <c r="B37" s="1" t="s">
        <v>11</v>
      </c>
      <c r="D37" s="1">
        <v>0.05</v>
      </c>
      <c r="E37" s="1">
        <v>0.04</v>
      </c>
      <c r="F37" s="1">
        <v>0.05</v>
      </c>
      <c r="G37" s="1">
        <v>0.07</v>
      </c>
      <c r="H37" s="1">
        <v>0.06</v>
      </c>
      <c r="I37" s="1">
        <v>0.07</v>
      </c>
      <c r="J37" s="1">
        <v>0.06</v>
      </c>
      <c r="K37" s="1">
        <v>0.07</v>
      </c>
      <c r="L37" s="1">
        <v>0.08</v>
      </c>
      <c r="M37" s="1">
        <v>0.08</v>
      </c>
      <c r="N37" s="1">
        <v>0.08</v>
      </c>
      <c r="O37" s="1">
        <v>0.07</v>
      </c>
      <c r="P37" s="1">
        <v>0.1</v>
      </c>
      <c r="Q37" s="1">
        <v>0.09</v>
      </c>
      <c r="R37" s="1">
        <v>0.09</v>
      </c>
      <c r="S37" s="1">
        <v>0.11</v>
      </c>
      <c r="T37" s="1">
        <v>0.12</v>
      </c>
      <c r="U37" s="1">
        <v>0.09</v>
      </c>
      <c r="V37" s="1">
        <v>0.25</v>
      </c>
      <c r="W37" s="1">
        <v>0.1</v>
      </c>
      <c r="X37" s="1">
        <v>0.11</v>
      </c>
      <c r="Y37" s="1">
        <v>0.09</v>
      </c>
    </row>
    <row r="38" spans="1:39">
      <c r="A38" s="1" t="s">
        <v>12</v>
      </c>
      <c r="C38" s="1" t="s">
        <v>42</v>
      </c>
      <c r="D38" s="1" t="s">
        <v>16</v>
      </c>
      <c r="E38" s="1" t="s">
        <v>43</v>
      </c>
      <c r="F38" s="1" t="s">
        <v>17</v>
      </c>
      <c r="G38" s="1" t="s">
        <v>44</v>
      </c>
      <c r="H38" s="1" t="s">
        <v>45</v>
      </c>
      <c r="I38" s="1" t="s">
        <v>46</v>
      </c>
      <c r="J38" s="1" t="s">
        <v>47</v>
      </c>
      <c r="K38" s="1" t="s">
        <v>48</v>
      </c>
      <c r="L38" s="1" t="s">
        <v>49</v>
      </c>
      <c r="M38" s="1" t="s">
        <v>50</v>
      </c>
      <c r="N38" s="1" t="s">
        <v>51</v>
      </c>
      <c r="O38" s="1" t="s">
        <v>52</v>
      </c>
      <c r="P38" s="1" t="s">
        <v>53</v>
      </c>
      <c r="Q38" s="1" t="s">
        <v>54</v>
      </c>
      <c r="R38" s="1" t="s">
        <v>55</v>
      </c>
      <c r="S38" s="1" t="s">
        <v>56</v>
      </c>
      <c r="T38" s="1" t="s">
        <v>57</v>
      </c>
      <c r="U38" s="1" t="s">
        <v>58</v>
      </c>
      <c r="V38" s="1" t="s">
        <v>59</v>
      </c>
      <c r="W38" s="1" t="s">
        <v>59</v>
      </c>
      <c r="X38" s="1" t="s">
        <v>59</v>
      </c>
      <c r="Y38" s="1" t="s">
        <v>59</v>
      </c>
    </row>
    <row r="39" spans="1:39">
      <c r="A39" s="1" t="s">
        <v>21</v>
      </c>
      <c r="C39" s="1">
        <v>8.77</v>
      </c>
      <c r="D39" s="1">
        <v>1.205</v>
      </c>
      <c r="E39" s="1">
        <v>0.885</v>
      </c>
      <c r="F39" s="1">
        <v>2.618</v>
      </c>
      <c r="G39" s="1">
        <v>3.069</v>
      </c>
      <c r="H39" s="1">
        <v>6.657</v>
      </c>
      <c r="I39" s="1">
        <v>4.946</v>
      </c>
      <c r="J39" s="1">
        <v>3.863</v>
      </c>
      <c r="K39" s="1">
        <v>7.131</v>
      </c>
      <c r="L39" s="1">
        <v>6.938</v>
      </c>
      <c r="M39" s="1">
        <v>9.655</v>
      </c>
      <c r="N39" s="1">
        <v>14.524</v>
      </c>
      <c r="O39" s="1">
        <v>17.331</v>
      </c>
      <c r="P39" s="1">
        <v>22.071</v>
      </c>
      <c r="Q39" s="1">
        <v>25.068</v>
      </c>
      <c r="R39" s="1">
        <v>26.148</v>
      </c>
      <c r="S39" s="1">
        <v>37.371</v>
      </c>
      <c r="T39" s="1">
        <v>33.952</v>
      </c>
      <c r="U39" s="1">
        <v>16.289</v>
      </c>
      <c r="V39" s="1">
        <v>9.857</v>
      </c>
      <c r="W39" s="1">
        <v>9.209</v>
      </c>
      <c r="X39" s="1">
        <v>7.723</v>
      </c>
      <c r="Y39" s="1">
        <v>8.175</v>
      </c>
    </row>
    <row r="40" spans="1:39">
      <c r="A40" s="1" t="s">
        <v>22</v>
      </c>
      <c r="C40" s="1">
        <f>C39+D39+E39+F39+G39+H39+I39+J39+K39+L39+M39+N39+O39+P39+Q39+R39+S39+T39+U39+V39+W39+X39+Y39</f>
        <v>283.455</v>
      </c>
    </row>
    <row r="41" spans="1:39">
      <c r="A41" s="1" t="s">
        <v>23</v>
      </c>
      <c r="C41" s="1">
        <v>6153</v>
      </c>
    </row>
    <row r="42" spans="1:39">
      <c r="A42" s="1" t="s">
        <v>24</v>
      </c>
      <c r="C42" s="3">
        <f>C40/C41</f>
        <v>0.0460677718186251</v>
      </c>
    </row>
    <row r="43" spans="1:39">
      <c r="A43" s="1" t="s">
        <v>25</v>
      </c>
      <c r="C43" s="3">
        <f>SUMIF(C32:Y32,"Young",C39:Y39)/C41</f>
        <v>0.0446424508369901</v>
      </c>
    </row>
    <row r="44" spans="1:39">
      <c r="C44" s="1" t="s">
        <v>60</v>
      </c>
    </row>
    <row r="45" spans="1:39">
      <c r="A45" s="1" t="s">
        <v>2</v>
      </c>
      <c r="C45" s="1">
        <v>0</v>
      </c>
      <c r="D45" s="1">
        <v>1</v>
      </c>
      <c r="E45" s="1">
        <v>2</v>
      </c>
      <c r="F45" s="1">
        <v>3</v>
      </c>
      <c r="G45" s="1">
        <v>4</v>
      </c>
      <c r="H45" s="1">
        <v>5</v>
      </c>
      <c r="I45" s="1">
        <v>6</v>
      </c>
      <c r="J45" s="1">
        <v>7</v>
      </c>
      <c r="K45" s="1">
        <v>8</v>
      </c>
      <c r="L45" s="1">
        <v>9</v>
      </c>
      <c r="M45" s="1">
        <v>10</v>
      </c>
      <c r="N45" s="1">
        <v>11</v>
      </c>
      <c r="O45" s="1">
        <v>12</v>
      </c>
      <c r="P45" s="1">
        <v>13</v>
      </c>
      <c r="Q45" s="1">
        <v>14</v>
      </c>
      <c r="R45" s="1">
        <v>15</v>
      </c>
      <c r="S45" s="1">
        <v>16</v>
      </c>
      <c r="T45" s="1">
        <v>17</v>
      </c>
      <c r="U45" s="1">
        <v>18</v>
      </c>
      <c r="V45" s="1">
        <v>19</v>
      </c>
      <c r="W45" s="1">
        <v>20</v>
      </c>
      <c r="X45" s="1">
        <v>21</v>
      </c>
      <c r="Y45" s="1">
        <v>22</v>
      </c>
      <c r="Z45" s="1">
        <v>23</v>
      </c>
      <c r="AA45" s="1">
        <v>24</v>
      </c>
      <c r="AB45" s="1">
        <v>25</v>
      </c>
      <c r="AC45" s="1">
        <v>26</v>
      </c>
      <c r="AD45" s="1">
        <v>27</v>
      </c>
      <c r="AE45" s="1">
        <v>28</v>
      </c>
      <c r="AF45" s="1">
        <v>29</v>
      </c>
      <c r="AG45" s="1">
        <v>30</v>
      </c>
      <c r="AH45" s="1">
        <v>31</v>
      </c>
      <c r="AI45" s="1">
        <v>32</v>
      </c>
      <c r="AJ45" s="1">
        <v>33</v>
      </c>
      <c r="AK45" s="1">
        <v>34</v>
      </c>
      <c r="AL45" s="1">
        <v>35</v>
      </c>
      <c r="AM45" s="1">
        <v>36</v>
      </c>
    </row>
    <row r="46" spans="1:39">
      <c r="A46" s="1" t="s">
        <v>3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61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61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61</v>
      </c>
      <c r="X46" s="1" t="s">
        <v>5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1" t="s">
        <v>4</v>
      </c>
      <c r="AL46" s="1" t="s">
        <v>4</v>
      </c>
      <c r="AM46" s="1" t="s">
        <v>4</v>
      </c>
    </row>
    <row r="47" spans="1:39">
      <c r="A47" s="1" t="s">
        <v>6</v>
      </c>
      <c r="B47" s="1" t="s">
        <v>7</v>
      </c>
      <c r="C47" s="1">
        <v>0.08</v>
      </c>
      <c r="D47" s="1">
        <v>0.06</v>
      </c>
      <c r="E47" s="1">
        <v>0.02</v>
      </c>
      <c r="F47" s="1">
        <v>0.04</v>
      </c>
      <c r="G47" s="1">
        <v>0.06</v>
      </c>
      <c r="I47" s="1">
        <v>0.09</v>
      </c>
      <c r="J47" s="1">
        <v>0.03</v>
      </c>
      <c r="K47" s="1">
        <v>0.06</v>
      </c>
      <c r="L47" s="1">
        <v>0.06</v>
      </c>
      <c r="N47" s="1">
        <v>0.03</v>
      </c>
      <c r="O47" s="1">
        <v>0.05</v>
      </c>
      <c r="P47" s="1">
        <v>0.06</v>
      </c>
      <c r="Q47" s="1">
        <v>0.06</v>
      </c>
      <c r="R47" s="1">
        <v>0.03</v>
      </c>
      <c r="S47" s="1">
        <v>0.04</v>
      </c>
      <c r="T47" s="1">
        <v>0.09</v>
      </c>
      <c r="U47" s="1">
        <v>0.05</v>
      </c>
      <c r="V47" s="1">
        <v>0.08</v>
      </c>
      <c r="Y47" s="1">
        <v>0.58</v>
      </c>
      <c r="Z47" s="1">
        <v>0.09</v>
      </c>
      <c r="AA47" s="1">
        <v>0.07</v>
      </c>
      <c r="AB47" s="1">
        <v>0.07</v>
      </c>
      <c r="AC47" s="1">
        <v>0.04</v>
      </c>
      <c r="AD47" s="1">
        <v>0.04</v>
      </c>
      <c r="AE47" s="1">
        <v>0.04</v>
      </c>
      <c r="AF47" s="1">
        <v>0.06</v>
      </c>
      <c r="AG47" s="1">
        <v>0.04</v>
      </c>
      <c r="AH47" s="1">
        <v>0.06</v>
      </c>
      <c r="AI47" s="1">
        <v>0.05</v>
      </c>
      <c r="AJ47" s="1">
        <v>0.05</v>
      </c>
      <c r="AK47" s="1">
        <v>0.06</v>
      </c>
      <c r="AL47" s="1">
        <v>0.06</v>
      </c>
      <c r="AM47" s="1">
        <v>0.05</v>
      </c>
    </row>
    <row r="48" spans="1:39">
      <c r="B48" s="1" t="s">
        <v>8</v>
      </c>
      <c r="C48" s="1">
        <v>0.21</v>
      </c>
      <c r="D48" s="1">
        <v>0.03</v>
      </c>
      <c r="E48" s="1">
        <v>0.03</v>
      </c>
      <c r="F48" s="1">
        <v>0.04</v>
      </c>
      <c r="G48" s="1">
        <v>0.04</v>
      </c>
      <c r="I48" s="1">
        <v>0.05</v>
      </c>
      <c r="J48" s="1">
        <v>0.03</v>
      </c>
      <c r="K48" s="1">
        <v>0.04</v>
      </c>
      <c r="L48" s="1">
        <v>0.04</v>
      </c>
      <c r="N48" s="1">
        <v>0.03</v>
      </c>
      <c r="O48" s="1">
        <v>0.04</v>
      </c>
      <c r="P48" s="1">
        <v>0.09</v>
      </c>
      <c r="Q48" s="1">
        <v>0.14</v>
      </c>
      <c r="R48" s="1">
        <v>0.13</v>
      </c>
      <c r="S48" s="1">
        <v>0.49</v>
      </c>
      <c r="T48" s="1">
        <v>0.25</v>
      </c>
      <c r="U48" s="1">
        <v>0.44</v>
      </c>
      <c r="V48" s="1">
        <v>0.08</v>
      </c>
      <c r="Y48" s="1">
        <v>0.15</v>
      </c>
      <c r="Z48" s="1">
        <v>0.07</v>
      </c>
      <c r="AA48" s="1">
        <v>0.07</v>
      </c>
      <c r="AB48" s="1">
        <v>0.05</v>
      </c>
      <c r="AC48" s="1">
        <v>0.06</v>
      </c>
      <c r="AD48" s="1">
        <v>0.08</v>
      </c>
      <c r="AE48" s="1">
        <v>0.1</v>
      </c>
      <c r="AF48" s="1">
        <v>0.15</v>
      </c>
      <c r="AG48" s="1">
        <v>0.12</v>
      </c>
      <c r="AH48" s="1">
        <v>0.13</v>
      </c>
      <c r="AI48" s="1">
        <v>0.13</v>
      </c>
      <c r="AJ48" s="1">
        <v>0.14</v>
      </c>
      <c r="AK48" s="1">
        <v>0.17</v>
      </c>
      <c r="AL48" s="1">
        <v>0.26</v>
      </c>
      <c r="AM48" s="1">
        <v>0.18</v>
      </c>
    </row>
    <row r="49" spans="1:39">
      <c r="B49" s="1" t="s">
        <v>9</v>
      </c>
      <c r="C49" s="1">
        <v>4.69</v>
      </c>
      <c r="D49" s="1">
        <v>10.14</v>
      </c>
      <c r="E49" s="1">
        <v>3.43</v>
      </c>
      <c r="F49" s="1">
        <v>1.81</v>
      </c>
      <c r="G49" s="1">
        <v>2.45</v>
      </c>
      <c r="I49" s="1">
        <v>7.04</v>
      </c>
      <c r="J49" s="1">
        <v>5.47</v>
      </c>
      <c r="K49" s="1">
        <v>2.23</v>
      </c>
      <c r="L49" s="1">
        <v>2.27</v>
      </c>
      <c r="N49" s="1">
        <v>6.41</v>
      </c>
      <c r="O49" s="1">
        <v>15.93</v>
      </c>
      <c r="P49" s="1">
        <v>13.47</v>
      </c>
      <c r="Q49" s="1">
        <v>10</v>
      </c>
      <c r="R49" s="1">
        <v>9.35</v>
      </c>
      <c r="S49" s="1">
        <v>17.61</v>
      </c>
      <c r="T49" s="1">
        <v>27.75</v>
      </c>
      <c r="U49" s="1">
        <v>26.59</v>
      </c>
      <c r="V49" s="1">
        <v>9.42</v>
      </c>
      <c r="Y49" s="1">
        <v>13.14</v>
      </c>
      <c r="Z49" s="1">
        <v>11</v>
      </c>
      <c r="AA49" s="1">
        <v>19.35</v>
      </c>
      <c r="AB49" s="1">
        <v>17.26</v>
      </c>
      <c r="AC49" s="1">
        <v>11.55</v>
      </c>
      <c r="AD49" s="1">
        <v>7.23</v>
      </c>
      <c r="AE49" s="1">
        <v>10.39</v>
      </c>
      <c r="AF49" s="1">
        <v>11.21</v>
      </c>
      <c r="AG49" s="1">
        <v>9.93</v>
      </c>
      <c r="AH49" s="1">
        <v>12.94</v>
      </c>
      <c r="AI49" s="1">
        <v>18.1</v>
      </c>
      <c r="AJ49" s="1">
        <v>20.76</v>
      </c>
      <c r="AK49" s="1">
        <v>18.99</v>
      </c>
      <c r="AL49" s="1">
        <v>13.32</v>
      </c>
      <c r="AM49" s="1">
        <v>16.51</v>
      </c>
    </row>
    <row r="50" spans="1:39">
      <c r="B50" s="1" t="s">
        <v>10</v>
      </c>
      <c r="C50" s="1">
        <v>0.22</v>
      </c>
      <c r="D50" s="1">
        <v>0.36</v>
      </c>
      <c r="E50" s="1">
        <v>0.23</v>
      </c>
      <c r="F50" s="1">
        <v>0.23</v>
      </c>
      <c r="G50" s="1">
        <v>0.91</v>
      </c>
      <c r="I50" s="1">
        <v>0.32</v>
      </c>
      <c r="J50" s="1">
        <v>0.28</v>
      </c>
      <c r="K50" s="1">
        <v>0.26</v>
      </c>
      <c r="L50" s="1">
        <v>0.19</v>
      </c>
      <c r="N50" s="1">
        <v>0.38</v>
      </c>
      <c r="O50" s="1">
        <v>0.74</v>
      </c>
      <c r="P50" s="1">
        <v>0.43</v>
      </c>
      <c r="Q50" s="1">
        <v>0.42</v>
      </c>
      <c r="R50" s="1">
        <v>0.37</v>
      </c>
      <c r="S50" s="1">
        <v>1.29</v>
      </c>
      <c r="T50" s="1">
        <v>0.96</v>
      </c>
      <c r="U50" s="1">
        <v>0.76</v>
      </c>
      <c r="V50" s="1">
        <v>0.69</v>
      </c>
      <c r="Y50" s="1">
        <v>0.8</v>
      </c>
      <c r="Z50" s="1">
        <v>1.06</v>
      </c>
      <c r="AA50" s="1">
        <v>0.62</v>
      </c>
      <c r="AB50" s="1">
        <v>0.58</v>
      </c>
      <c r="AC50" s="1">
        <v>0.52</v>
      </c>
      <c r="AD50" s="1">
        <v>0.54</v>
      </c>
      <c r="AE50" s="1">
        <v>1.45</v>
      </c>
      <c r="AF50" s="1">
        <v>0.81</v>
      </c>
      <c r="AG50" s="1">
        <v>0.65</v>
      </c>
      <c r="AH50" s="1">
        <v>0.6</v>
      </c>
      <c r="AI50" s="1">
        <v>1.01</v>
      </c>
      <c r="AJ50" s="1">
        <v>0.7</v>
      </c>
      <c r="AK50" s="1">
        <v>0.85</v>
      </c>
      <c r="AL50" s="1">
        <v>0.67</v>
      </c>
      <c r="AM50" s="1">
        <v>1.62</v>
      </c>
    </row>
    <row r="51" spans="1:39">
      <c r="B51" s="1" t="s">
        <v>11</v>
      </c>
      <c r="C51" s="1">
        <v>0.08</v>
      </c>
      <c r="D51" s="1">
        <v>0.07</v>
      </c>
      <c r="E51" s="1">
        <v>0.06</v>
      </c>
      <c r="F51" s="1">
        <v>0.07</v>
      </c>
      <c r="G51" s="1">
        <v>0.11</v>
      </c>
      <c r="I51" s="1">
        <v>0.08</v>
      </c>
      <c r="J51" s="1">
        <v>0.06</v>
      </c>
      <c r="K51" s="1">
        <v>0.06</v>
      </c>
      <c r="L51" s="1">
        <v>0.08</v>
      </c>
      <c r="N51" s="1">
        <v>0.06</v>
      </c>
      <c r="O51" s="1">
        <v>0.1</v>
      </c>
      <c r="P51" s="1">
        <v>0.11</v>
      </c>
      <c r="Q51" s="1">
        <v>0.1</v>
      </c>
      <c r="R51" s="1">
        <v>0.1</v>
      </c>
      <c r="S51" s="1">
        <v>0.13</v>
      </c>
      <c r="T51" s="1">
        <v>0.1</v>
      </c>
      <c r="U51" s="1">
        <v>0.09</v>
      </c>
      <c r="V51" s="1">
        <v>0.11</v>
      </c>
      <c r="Y51" s="1">
        <v>0.16</v>
      </c>
      <c r="Z51" s="1">
        <v>0.11</v>
      </c>
      <c r="AA51" s="1">
        <v>0.1</v>
      </c>
      <c r="AB51" s="1">
        <v>0.14</v>
      </c>
      <c r="AC51" s="1">
        <v>0.1</v>
      </c>
      <c r="AD51" s="1">
        <v>0.11</v>
      </c>
      <c r="AE51" s="1">
        <v>0.11</v>
      </c>
      <c r="AF51" s="1">
        <v>0.13</v>
      </c>
      <c r="AG51" s="1">
        <v>0.1</v>
      </c>
      <c r="AH51" s="1">
        <v>0.11</v>
      </c>
      <c r="AI51" s="1">
        <v>0.12</v>
      </c>
      <c r="AJ51" s="1">
        <v>0.12</v>
      </c>
      <c r="AK51" s="1">
        <v>0.11</v>
      </c>
      <c r="AL51" s="1">
        <v>0.12</v>
      </c>
      <c r="AM51" s="1">
        <v>0.14</v>
      </c>
    </row>
    <row r="52" spans="1:39">
      <c r="A52" s="1" t="s">
        <v>12</v>
      </c>
      <c r="C52" s="1" t="s">
        <v>62</v>
      </c>
      <c r="D52" s="1" t="s">
        <v>63</v>
      </c>
      <c r="E52" s="1" t="s">
        <v>64</v>
      </c>
      <c r="F52" s="1" t="s">
        <v>65</v>
      </c>
      <c r="G52" s="1" t="s">
        <v>66</v>
      </c>
      <c r="H52" s="1" t="s">
        <v>67</v>
      </c>
      <c r="I52" s="1" t="s">
        <v>68</v>
      </c>
      <c r="J52" s="1" t="s">
        <v>69</v>
      </c>
      <c r="K52" s="1" t="s">
        <v>70</v>
      </c>
      <c r="L52" s="1" t="s">
        <v>71</v>
      </c>
      <c r="M52" s="1" t="s">
        <v>72</v>
      </c>
      <c r="N52" s="1" t="s">
        <v>73</v>
      </c>
      <c r="O52" s="1" t="s">
        <v>74</v>
      </c>
      <c r="P52" s="1" t="s">
        <v>75</v>
      </c>
      <c r="Q52" s="1" t="s">
        <v>76</v>
      </c>
      <c r="R52" s="1" t="s">
        <v>77</v>
      </c>
      <c r="S52" s="1" t="s">
        <v>78</v>
      </c>
      <c r="T52" s="1" t="s">
        <v>79</v>
      </c>
      <c r="U52" s="1" t="s">
        <v>80</v>
      </c>
      <c r="V52" s="1" t="s">
        <v>81</v>
      </c>
      <c r="W52" s="1" t="s">
        <v>82</v>
      </c>
      <c r="X52" s="1" t="s">
        <v>83</v>
      </c>
      <c r="Y52" s="1" t="s">
        <v>84</v>
      </c>
      <c r="Z52" s="1" t="s">
        <v>85</v>
      </c>
      <c r="AA52" s="1" t="s">
        <v>86</v>
      </c>
      <c r="AB52" s="1" t="s">
        <v>87</v>
      </c>
      <c r="AC52" s="1" t="s">
        <v>88</v>
      </c>
      <c r="AD52" s="1" t="s">
        <v>89</v>
      </c>
      <c r="AE52" s="1" t="s">
        <v>90</v>
      </c>
      <c r="AF52" s="1" t="s">
        <v>91</v>
      </c>
      <c r="AG52" s="1" t="s">
        <v>92</v>
      </c>
      <c r="AH52" s="1" t="s">
        <v>93</v>
      </c>
      <c r="AI52" s="1" t="s">
        <v>94</v>
      </c>
      <c r="AJ52" s="1" t="s">
        <v>95</v>
      </c>
      <c r="AK52" s="1" t="s">
        <v>96</v>
      </c>
      <c r="AL52" s="1" t="s">
        <v>97</v>
      </c>
      <c r="AM52" s="1" t="s">
        <v>98</v>
      </c>
    </row>
    <row r="53" spans="1:39">
      <c r="A53" s="1" t="s">
        <v>21</v>
      </c>
      <c r="C53" s="1">
        <v>5.346</v>
      </c>
      <c r="D53" s="1">
        <v>10.743</v>
      </c>
      <c r="E53" s="1">
        <v>3.852</v>
      </c>
      <c r="F53" s="1">
        <v>2.243</v>
      </c>
      <c r="G53" s="1">
        <v>3.637</v>
      </c>
      <c r="H53" s="1">
        <v>10.529</v>
      </c>
      <c r="I53" s="1">
        <v>7.759</v>
      </c>
      <c r="J53" s="1">
        <v>5.956</v>
      </c>
      <c r="K53" s="1">
        <v>2.704</v>
      </c>
      <c r="L53" s="1">
        <v>2.683</v>
      </c>
      <c r="M53" s="1">
        <v>13.983</v>
      </c>
      <c r="N53" s="1">
        <v>7.001</v>
      </c>
      <c r="O53" s="1">
        <v>16.899</v>
      </c>
      <c r="P53" s="1">
        <v>14.262</v>
      </c>
      <c r="Q53" s="1">
        <v>10.813</v>
      </c>
      <c r="R53" s="1">
        <v>10.081</v>
      </c>
      <c r="S53" s="1">
        <v>19.657</v>
      </c>
      <c r="T53" s="1">
        <v>29.248</v>
      </c>
      <c r="U53" s="1">
        <v>28.014</v>
      </c>
      <c r="V53" s="1">
        <v>10.49</v>
      </c>
      <c r="W53" s="1">
        <v>39.579</v>
      </c>
      <c r="X53" s="1">
        <v>72.991</v>
      </c>
      <c r="Y53" s="1">
        <v>14.855</v>
      </c>
      <c r="Z53" s="1">
        <v>12.414</v>
      </c>
      <c r="AA53" s="1">
        <v>20.252</v>
      </c>
      <c r="AB53" s="1">
        <v>18.157</v>
      </c>
      <c r="AC53" s="1">
        <v>12.315</v>
      </c>
      <c r="AD53" s="1">
        <v>8.067</v>
      </c>
      <c r="AE53" s="1">
        <v>12.149</v>
      </c>
      <c r="AF53" s="1">
        <v>12.431</v>
      </c>
      <c r="AG53" s="1">
        <v>10.903</v>
      </c>
      <c r="AH53" s="1">
        <v>13.904</v>
      </c>
      <c r="AI53" s="1">
        <v>19.461</v>
      </c>
      <c r="AJ53" s="1">
        <v>21.841</v>
      </c>
      <c r="AK53" s="1">
        <v>20.26</v>
      </c>
      <c r="AL53" s="1">
        <v>14.492</v>
      </c>
      <c r="AM53" s="1">
        <v>18.548</v>
      </c>
    </row>
    <row r="54" spans="1:39">
      <c r="A54" s="1" t="s">
        <v>22</v>
      </c>
      <c r="C54" s="1">
        <f>C53+D53+E53+F53+G53+H53+I53+J53+K53+L53+M53+N53+O53+P53+Q53+R53+S53+T53+U53+V53+W53+X53+Y53+Z53+AA53+AB53+AC53+AD53+AE53+AF53+AG53+AH53+AI53+AJ53+AK53+AL53+AM53</f>
        <v>558.519</v>
      </c>
    </row>
    <row r="55" spans="1:39">
      <c r="A55" s="1" t="s">
        <v>23</v>
      </c>
      <c r="C55" s="1">
        <v>9893</v>
      </c>
    </row>
    <row r="56" spans="1:39">
      <c r="A56" s="1" t="s">
        <v>24</v>
      </c>
      <c r="C56" s="3">
        <f>C54/C55</f>
        <v>0.0564559789750329</v>
      </c>
    </row>
    <row r="57" spans="1:39">
      <c r="A57" s="1" t="s">
        <v>25</v>
      </c>
      <c r="C57" s="3">
        <f>SUMIF(C46:AM46,"Young",C53:AM53)/C55</f>
        <v>0.0425995148084504</v>
      </c>
    </row>
    <row r="58" spans="1:39">
      <c r="C58" s="1" t="s">
        <v>99</v>
      </c>
    </row>
    <row r="59" spans="1:39">
      <c r="A59" s="1" t="s">
        <v>2</v>
      </c>
      <c r="C59" s="1">
        <v>0</v>
      </c>
      <c r="D59" s="1">
        <v>1</v>
      </c>
      <c r="E59" s="1">
        <v>2</v>
      </c>
      <c r="F59" s="1">
        <v>3</v>
      </c>
      <c r="G59" s="1">
        <v>4</v>
      </c>
      <c r="H59" s="1">
        <v>5</v>
      </c>
      <c r="I59" s="1">
        <v>6</v>
      </c>
      <c r="J59" s="1">
        <v>7</v>
      </c>
      <c r="K59" s="1">
        <v>8</v>
      </c>
      <c r="L59" s="1">
        <v>9</v>
      </c>
      <c r="M59" s="1">
        <v>10</v>
      </c>
      <c r="N59" s="1">
        <v>11</v>
      </c>
      <c r="O59" s="1">
        <v>12</v>
      </c>
      <c r="P59" s="1">
        <v>13</v>
      </c>
      <c r="Q59" s="1">
        <v>14</v>
      </c>
      <c r="R59" s="1">
        <v>15</v>
      </c>
      <c r="S59" s="1">
        <v>16</v>
      </c>
      <c r="T59" s="1">
        <v>17</v>
      </c>
      <c r="U59" s="1">
        <v>18</v>
      </c>
      <c r="V59" s="1">
        <v>19</v>
      </c>
      <c r="W59" s="1">
        <v>20</v>
      </c>
      <c r="X59" s="1">
        <v>21</v>
      </c>
      <c r="Y59" s="1">
        <v>22</v>
      </c>
      <c r="Z59" s="1">
        <v>23</v>
      </c>
      <c r="AA59" s="1">
        <v>24</v>
      </c>
      <c r="AB59" s="1">
        <v>25</v>
      </c>
      <c r="AC59" s="1">
        <v>26</v>
      </c>
      <c r="AD59" s="1">
        <v>27</v>
      </c>
      <c r="AE59" s="1">
        <v>28</v>
      </c>
      <c r="AF59" s="1">
        <v>29</v>
      </c>
      <c r="AG59" s="1">
        <v>30</v>
      </c>
      <c r="AH59" s="1">
        <v>31</v>
      </c>
      <c r="AI59" s="1">
        <v>32</v>
      </c>
      <c r="AJ59" s="1">
        <v>33</v>
      </c>
      <c r="AK59" s="1">
        <v>34</v>
      </c>
    </row>
    <row r="60" spans="1:39">
      <c r="A60" s="1" t="s">
        <v>3</v>
      </c>
      <c r="C60" s="1" t="s">
        <v>4</v>
      </c>
      <c r="D60" s="1" t="s">
        <v>4</v>
      </c>
      <c r="E60" s="1" t="s">
        <v>4</v>
      </c>
      <c r="F60" s="1" t="s">
        <v>4</v>
      </c>
      <c r="G60" s="1" t="s">
        <v>4</v>
      </c>
      <c r="H60" s="1" t="s">
        <v>61</v>
      </c>
      <c r="I60" s="1" t="s">
        <v>4</v>
      </c>
      <c r="J60" s="1" t="s">
        <v>4</v>
      </c>
      <c r="K60" s="1" t="s">
        <v>5</v>
      </c>
      <c r="L60" s="1" t="s">
        <v>4</v>
      </c>
      <c r="M60" s="1" t="s">
        <v>4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  <c r="AB60" s="1" t="s">
        <v>4</v>
      </c>
      <c r="AC60" s="1" t="s">
        <v>4</v>
      </c>
      <c r="AD60" s="1" t="s">
        <v>4</v>
      </c>
      <c r="AE60" s="1" t="s">
        <v>4</v>
      </c>
      <c r="AF60" s="1" t="s">
        <v>4</v>
      </c>
      <c r="AG60" s="1" t="s">
        <v>4</v>
      </c>
      <c r="AH60" s="1" t="s">
        <v>61</v>
      </c>
      <c r="AI60" s="1" t="s">
        <v>4</v>
      </c>
      <c r="AJ60" s="1" t="s">
        <v>4</v>
      </c>
      <c r="AK60" s="1" t="s">
        <v>4</v>
      </c>
    </row>
    <row r="61" spans="1:39">
      <c r="A61" s="1" t="s">
        <v>6</v>
      </c>
      <c r="B61" s="1" t="s">
        <v>7</v>
      </c>
      <c r="C61" s="1">
        <v>0.05</v>
      </c>
      <c r="D61" s="1">
        <v>0.04</v>
      </c>
      <c r="E61" s="1">
        <v>0.06</v>
      </c>
      <c r="F61" s="1">
        <v>0.04</v>
      </c>
      <c r="G61" s="1">
        <v>0.05</v>
      </c>
      <c r="I61" s="1">
        <v>0.1</v>
      </c>
      <c r="J61" s="1">
        <v>0.03</v>
      </c>
      <c r="L61" s="1">
        <v>0.03</v>
      </c>
      <c r="M61" s="1">
        <v>0.03</v>
      </c>
      <c r="N61" s="1">
        <v>0.04</v>
      </c>
      <c r="O61" s="1">
        <v>0.04</v>
      </c>
      <c r="P61" s="1">
        <v>0.05</v>
      </c>
      <c r="Q61" s="1">
        <v>0.03</v>
      </c>
      <c r="R61" s="1">
        <v>0.1</v>
      </c>
      <c r="S61" s="1">
        <v>0.06</v>
      </c>
      <c r="T61" s="1">
        <v>0.07</v>
      </c>
      <c r="U61" s="1">
        <v>0.03</v>
      </c>
      <c r="V61" s="1">
        <v>0.04</v>
      </c>
      <c r="W61" s="1">
        <v>0.06</v>
      </c>
      <c r="X61" s="1">
        <v>0.13</v>
      </c>
      <c r="Y61" s="1">
        <v>0.04</v>
      </c>
      <c r="Z61" s="1">
        <v>0.11</v>
      </c>
      <c r="AA61" s="1">
        <v>0.12</v>
      </c>
      <c r="AB61" s="1">
        <v>0.06</v>
      </c>
      <c r="AC61" s="1">
        <v>0.09</v>
      </c>
      <c r="AD61" s="1">
        <v>0.1</v>
      </c>
      <c r="AE61" s="1">
        <v>0.11</v>
      </c>
      <c r="AF61" s="1">
        <v>0.09</v>
      </c>
      <c r="AG61" s="1">
        <v>0.09</v>
      </c>
      <c r="AI61" s="1">
        <v>0.04</v>
      </c>
      <c r="AJ61" s="1">
        <v>0.05</v>
      </c>
      <c r="AK61" s="1">
        <v>0.03</v>
      </c>
    </row>
    <row r="62" spans="1:39">
      <c r="B62" s="1" t="s">
        <v>8</v>
      </c>
      <c r="C62" s="1">
        <v>0.2</v>
      </c>
      <c r="D62" s="1">
        <v>0.02</v>
      </c>
      <c r="E62" s="1">
        <v>0.03</v>
      </c>
      <c r="F62" s="1">
        <v>0.04</v>
      </c>
      <c r="G62" s="1">
        <v>0.04</v>
      </c>
      <c r="I62" s="1">
        <v>0.06</v>
      </c>
      <c r="J62" s="1">
        <v>0.03</v>
      </c>
      <c r="L62" s="1">
        <v>0.02</v>
      </c>
      <c r="M62" s="1">
        <v>0.03</v>
      </c>
      <c r="N62" s="1">
        <v>0.03</v>
      </c>
      <c r="O62" s="1">
        <v>0.03</v>
      </c>
      <c r="P62" s="1">
        <v>0.04</v>
      </c>
      <c r="Q62" s="1">
        <v>0.02</v>
      </c>
      <c r="R62" s="1">
        <v>1.04</v>
      </c>
      <c r="S62" s="1">
        <v>0.34</v>
      </c>
      <c r="T62" s="1">
        <v>0.41</v>
      </c>
      <c r="U62" s="1">
        <v>0.1</v>
      </c>
      <c r="V62" s="1">
        <v>0.78</v>
      </c>
      <c r="W62" s="1">
        <v>0.39</v>
      </c>
      <c r="X62" s="1">
        <v>0.26</v>
      </c>
      <c r="Y62" s="1">
        <v>0.05</v>
      </c>
      <c r="Z62" s="1">
        <v>0.05</v>
      </c>
      <c r="AA62" s="1">
        <v>1.21</v>
      </c>
      <c r="AB62" s="1">
        <v>0.81</v>
      </c>
      <c r="AC62" s="1">
        <v>0.37</v>
      </c>
      <c r="AD62" s="1">
        <v>0.08</v>
      </c>
      <c r="AE62" s="1">
        <v>0.2</v>
      </c>
      <c r="AF62" s="1">
        <v>0.27</v>
      </c>
      <c r="AG62" s="1">
        <v>0.11</v>
      </c>
      <c r="AI62" s="1">
        <v>0.1</v>
      </c>
      <c r="AJ62" s="1">
        <v>0.05</v>
      </c>
      <c r="AK62" s="1">
        <v>0.03</v>
      </c>
    </row>
    <row r="63" spans="1:39">
      <c r="B63" s="1" t="s">
        <v>9</v>
      </c>
      <c r="C63" s="1">
        <v>4.62</v>
      </c>
      <c r="D63" s="1">
        <v>5.48</v>
      </c>
      <c r="E63" s="1">
        <v>4.01</v>
      </c>
      <c r="F63" s="1">
        <v>5.65</v>
      </c>
      <c r="G63" s="1">
        <v>5.98</v>
      </c>
      <c r="I63" s="1">
        <v>7.2</v>
      </c>
      <c r="J63" s="1">
        <v>6.47</v>
      </c>
      <c r="L63" s="1">
        <v>2.37</v>
      </c>
      <c r="M63" s="1">
        <v>2.15</v>
      </c>
      <c r="N63" s="1">
        <v>3.23</v>
      </c>
      <c r="O63" s="1">
        <v>5.33</v>
      </c>
      <c r="P63" s="1">
        <v>28.4</v>
      </c>
      <c r="Q63" s="1">
        <v>27.31</v>
      </c>
      <c r="R63" s="1">
        <v>36.99</v>
      </c>
      <c r="S63" s="1">
        <v>25.91</v>
      </c>
      <c r="T63" s="1">
        <v>32.67</v>
      </c>
      <c r="U63" s="1">
        <v>16.5</v>
      </c>
      <c r="V63" s="1">
        <v>54.97</v>
      </c>
      <c r="W63" s="1">
        <v>42.28</v>
      </c>
      <c r="X63" s="1">
        <v>16.66</v>
      </c>
      <c r="Y63" s="1">
        <v>27.2</v>
      </c>
      <c r="Z63" s="1">
        <v>60.42</v>
      </c>
      <c r="AA63" s="1">
        <v>65.99</v>
      </c>
      <c r="AB63" s="1">
        <v>71.14</v>
      </c>
      <c r="AC63" s="1">
        <v>39.29</v>
      </c>
      <c r="AD63" s="1">
        <v>11.44</v>
      </c>
      <c r="AE63" s="1">
        <v>24.81</v>
      </c>
      <c r="AF63" s="1">
        <v>21.9</v>
      </c>
      <c r="AG63" s="1">
        <v>19.38</v>
      </c>
      <c r="AI63" s="1">
        <v>9.38</v>
      </c>
      <c r="AJ63" s="1">
        <v>10.18</v>
      </c>
      <c r="AK63" s="1">
        <v>2.87</v>
      </c>
    </row>
    <row r="64" spans="1:39">
      <c r="B64" s="1" t="s">
        <v>10</v>
      </c>
      <c r="C64" s="1">
        <v>0.35</v>
      </c>
      <c r="D64" s="1">
        <v>0.3</v>
      </c>
      <c r="E64" s="1">
        <v>0.26</v>
      </c>
      <c r="F64" s="1">
        <v>0.15</v>
      </c>
      <c r="G64" s="1">
        <v>0.82</v>
      </c>
      <c r="I64" s="1">
        <v>0.35</v>
      </c>
      <c r="J64" s="1">
        <v>0.32</v>
      </c>
      <c r="L64" s="1">
        <v>0.26</v>
      </c>
      <c r="M64" s="1">
        <v>0.24</v>
      </c>
      <c r="N64" s="1">
        <v>0.72</v>
      </c>
      <c r="O64" s="1">
        <v>0.31</v>
      </c>
      <c r="P64" s="1">
        <v>0.35</v>
      </c>
      <c r="Q64" s="1">
        <v>0.33</v>
      </c>
      <c r="R64" s="1">
        <v>0.89</v>
      </c>
      <c r="S64" s="1">
        <v>0.4</v>
      </c>
      <c r="T64" s="1">
        <v>0.36</v>
      </c>
      <c r="U64" s="1">
        <v>0.28</v>
      </c>
      <c r="V64" s="1">
        <v>3.57</v>
      </c>
      <c r="W64" s="1">
        <v>0.57</v>
      </c>
      <c r="X64" s="1">
        <v>0.34</v>
      </c>
      <c r="Y64" s="1">
        <v>0.3</v>
      </c>
      <c r="Z64" s="1">
        <v>2.01</v>
      </c>
      <c r="AA64" s="1">
        <v>0.49</v>
      </c>
      <c r="AB64" s="1">
        <v>0.4</v>
      </c>
      <c r="AC64" s="1">
        <v>0.53</v>
      </c>
      <c r="AD64" s="1">
        <v>3.12</v>
      </c>
      <c r="AE64" s="1">
        <v>0.98</v>
      </c>
      <c r="AF64" s="1">
        <v>1.33</v>
      </c>
      <c r="AG64" s="1">
        <v>1.21</v>
      </c>
      <c r="AI64" s="1">
        <v>0.77</v>
      </c>
      <c r="AJ64" s="1">
        <v>0.45</v>
      </c>
      <c r="AK64" s="1">
        <v>0.4</v>
      </c>
    </row>
    <row r="65" spans="1:37">
      <c r="B65" s="1" t="s">
        <v>11</v>
      </c>
      <c r="C65" s="1">
        <v>0.08</v>
      </c>
      <c r="D65" s="1">
        <v>0.06</v>
      </c>
      <c r="E65" s="1">
        <v>0.07</v>
      </c>
      <c r="F65" s="1">
        <v>0.06</v>
      </c>
      <c r="G65" s="1">
        <v>0.1</v>
      </c>
      <c r="I65" s="1">
        <v>0.08</v>
      </c>
      <c r="J65" s="1">
        <v>0.04</v>
      </c>
      <c r="L65" s="1">
        <v>0.06</v>
      </c>
      <c r="M65" s="1">
        <v>0.06</v>
      </c>
      <c r="N65" s="1">
        <v>0.08</v>
      </c>
      <c r="O65" s="1">
        <v>0.08</v>
      </c>
      <c r="P65" s="1">
        <v>0.09</v>
      </c>
      <c r="Q65" s="1">
        <v>0.08</v>
      </c>
      <c r="R65" s="1">
        <v>0.1</v>
      </c>
      <c r="S65" s="1">
        <v>0.1</v>
      </c>
      <c r="T65" s="1">
        <v>0.1</v>
      </c>
      <c r="U65" s="1">
        <v>0.09</v>
      </c>
      <c r="V65" s="1">
        <v>0.1</v>
      </c>
      <c r="W65" s="1">
        <v>0.11</v>
      </c>
      <c r="X65" s="1">
        <v>0.1</v>
      </c>
      <c r="Y65" s="1">
        <v>0.07</v>
      </c>
      <c r="Z65" s="1">
        <v>0.12</v>
      </c>
      <c r="AA65" s="1">
        <v>0.13</v>
      </c>
      <c r="AB65" s="1">
        <v>0.1</v>
      </c>
      <c r="AC65" s="1">
        <v>0.11</v>
      </c>
      <c r="AD65" s="1">
        <v>0.14</v>
      </c>
      <c r="AE65" s="1">
        <v>0.18</v>
      </c>
      <c r="AF65" s="1">
        <v>0.09</v>
      </c>
      <c r="AG65" s="1">
        <v>0.13</v>
      </c>
      <c r="AI65" s="1">
        <v>0.07</v>
      </c>
      <c r="AJ65" s="1">
        <v>0.08</v>
      </c>
      <c r="AK65" s="1">
        <v>0.07</v>
      </c>
    </row>
    <row r="66" spans="1:37">
      <c r="A66" s="1" t="s">
        <v>12</v>
      </c>
      <c r="C66" s="1" t="s">
        <v>13</v>
      </c>
      <c r="D66" s="1" t="s">
        <v>100</v>
      </c>
      <c r="E66" s="1" t="s">
        <v>101</v>
      </c>
      <c r="F66" s="1" t="s">
        <v>102</v>
      </c>
      <c r="G66" s="1" t="s">
        <v>103</v>
      </c>
      <c r="H66" s="1" t="s">
        <v>104</v>
      </c>
      <c r="I66" s="1" t="s">
        <v>105</v>
      </c>
      <c r="J66" s="1" t="s">
        <v>106</v>
      </c>
      <c r="K66" s="1" t="s">
        <v>107</v>
      </c>
      <c r="L66" s="1" t="s">
        <v>108</v>
      </c>
      <c r="M66" s="1" t="s">
        <v>109</v>
      </c>
      <c r="N66" s="1" t="s">
        <v>110</v>
      </c>
      <c r="O66" s="1" t="s">
        <v>111</v>
      </c>
      <c r="P66" s="1" t="s">
        <v>112</v>
      </c>
      <c r="Q66" s="1" t="s">
        <v>113</v>
      </c>
      <c r="R66" s="1" t="s">
        <v>114</v>
      </c>
      <c r="S66" s="1" t="s">
        <v>115</v>
      </c>
      <c r="T66" s="1" t="s">
        <v>116</v>
      </c>
      <c r="U66" s="1" t="s">
        <v>117</v>
      </c>
      <c r="V66" s="1" t="s">
        <v>118</v>
      </c>
      <c r="W66" s="1" t="s">
        <v>119</v>
      </c>
      <c r="X66" s="1" t="s">
        <v>120</v>
      </c>
      <c r="Y66" s="1" t="s">
        <v>121</v>
      </c>
      <c r="Z66" s="1" t="s">
        <v>122</v>
      </c>
      <c r="AA66" s="1" t="s">
        <v>123</v>
      </c>
      <c r="AB66" s="1" t="s">
        <v>124</v>
      </c>
      <c r="AC66" s="1" t="s">
        <v>125</v>
      </c>
      <c r="AD66" s="1" t="s">
        <v>126</v>
      </c>
      <c r="AE66" s="1" t="s">
        <v>127</v>
      </c>
      <c r="AF66" s="1" t="s">
        <v>128</v>
      </c>
      <c r="AG66" s="1" t="s">
        <v>129</v>
      </c>
      <c r="AH66" s="1" t="s">
        <v>130</v>
      </c>
      <c r="AI66" s="1" t="s">
        <v>131</v>
      </c>
      <c r="AJ66" s="1" t="s">
        <v>132</v>
      </c>
      <c r="AK66" s="1" t="s">
        <v>133</v>
      </c>
    </row>
    <row r="67" spans="1:37">
      <c r="A67" s="1" t="s">
        <v>21</v>
      </c>
      <c r="C67" s="1">
        <v>5.361</v>
      </c>
      <c r="D67" s="1">
        <v>5.963</v>
      </c>
      <c r="E67" s="1">
        <v>4.49</v>
      </c>
      <c r="F67" s="1">
        <v>5.967</v>
      </c>
      <c r="G67" s="1">
        <v>7.003</v>
      </c>
      <c r="H67" s="1">
        <v>9.076</v>
      </c>
      <c r="I67" s="1">
        <v>7.855</v>
      </c>
      <c r="J67" s="1">
        <v>6.953</v>
      </c>
      <c r="K67" s="1">
        <v>17.366</v>
      </c>
      <c r="L67" s="1">
        <v>2.773</v>
      </c>
      <c r="M67" s="1">
        <v>2.527</v>
      </c>
      <c r="N67" s="1">
        <v>4.139</v>
      </c>
      <c r="O67" s="1">
        <v>5.83</v>
      </c>
      <c r="P67" s="1">
        <v>28.994</v>
      </c>
      <c r="Q67" s="1">
        <v>27.859</v>
      </c>
      <c r="R67" s="1">
        <v>39.181</v>
      </c>
      <c r="S67" s="1">
        <v>26.87</v>
      </c>
      <c r="T67" s="1">
        <v>33.675</v>
      </c>
      <c r="U67" s="1">
        <v>17.068</v>
      </c>
      <c r="V67" s="1">
        <v>59.487</v>
      </c>
      <c r="W67" s="1">
        <v>43.535</v>
      </c>
      <c r="X67" s="1">
        <v>17.552</v>
      </c>
      <c r="Y67" s="1">
        <v>27.722</v>
      </c>
      <c r="Z67" s="1">
        <v>62.706</v>
      </c>
      <c r="AA67" s="1">
        <v>68.025</v>
      </c>
      <c r="AB67" s="1">
        <v>72.586</v>
      </c>
      <c r="AC67" s="1">
        <v>40.465</v>
      </c>
      <c r="AD67" s="1">
        <v>14.903</v>
      </c>
      <c r="AE67" s="1">
        <v>26.316</v>
      </c>
      <c r="AF67" s="1">
        <v>23.707</v>
      </c>
      <c r="AG67" s="1">
        <v>20.957</v>
      </c>
      <c r="AH67" s="1">
        <v>43.17</v>
      </c>
      <c r="AI67" s="1">
        <v>10.42</v>
      </c>
      <c r="AJ67" s="1">
        <v>10.866</v>
      </c>
      <c r="AK67" s="1">
        <v>3.475</v>
      </c>
    </row>
    <row r="68" spans="1:37">
      <c r="A68" s="1" t="s">
        <v>22</v>
      </c>
      <c r="C68" s="1">
        <f>C67+D67+E67+F67+G67+H67+I67+J67+K67+L67+M67+N67+O67+P67+Q67+R67+S67+T67+U67+V67+W67+X67+Y67+Z67+AA67+AB67+AC67+AD67+AE67+AF67+AG67+AH67+AI67+AJ67+AK67</f>
        <v>804.842</v>
      </c>
    </row>
    <row r="69" spans="1:37">
      <c r="A69" s="1" t="s">
        <v>23</v>
      </c>
      <c r="C69" s="1">
        <v>15435</v>
      </c>
    </row>
    <row r="70" spans="1:37">
      <c r="A70" s="1" t="s">
        <v>24</v>
      </c>
      <c r="C70" s="3">
        <f>C68/C69</f>
        <v>0.0521439585357953</v>
      </c>
    </row>
    <row r="71" spans="1:37">
      <c r="A71" s="1" t="s">
        <v>25</v>
      </c>
      <c r="C71" s="3">
        <f>SUMIF(C60:AK60,"Young",C67:AK67)/C69</f>
        <v>0.0476339488176223</v>
      </c>
    </row>
    <row r="72" spans="1:37">
      <c r="C72" s="1" t="s">
        <v>134</v>
      </c>
    </row>
    <row r="73" spans="1:37">
      <c r="A73" s="1" t="s">
        <v>2</v>
      </c>
      <c r="C73" s="1">
        <v>0</v>
      </c>
      <c r="D73" s="1">
        <v>1</v>
      </c>
      <c r="E73" s="1">
        <v>2</v>
      </c>
      <c r="F73" s="1">
        <v>3</v>
      </c>
      <c r="G73" s="1">
        <v>4</v>
      </c>
      <c r="H73" s="1">
        <v>5</v>
      </c>
      <c r="I73" s="1">
        <v>6</v>
      </c>
      <c r="J73" s="1">
        <v>7</v>
      </c>
      <c r="K73" s="1">
        <v>8</v>
      </c>
      <c r="L73" s="1">
        <v>9</v>
      </c>
      <c r="M73" s="1">
        <v>10</v>
      </c>
      <c r="N73" s="1">
        <v>11</v>
      </c>
      <c r="O73" s="1">
        <v>12</v>
      </c>
      <c r="P73" s="1">
        <v>13</v>
      </c>
    </row>
    <row r="74" spans="1:37">
      <c r="A74" s="1" t="s">
        <v>3</v>
      </c>
      <c r="C74" s="1" t="s">
        <v>5</v>
      </c>
      <c r="D74" s="1" t="s">
        <v>4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61</v>
      </c>
      <c r="J74" s="1" t="s">
        <v>4</v>
      </c>
      <c r="K74" s="1" t="s">
        <v>4</v>
      </c>
      <c r="L74" s="1" t="s">
        <v>4</v>
      </c>
      <c r="M74" s="1" t="s">
        <v>4</v>
      </c>
      <c r="N74" s="1" t="s">
        <v>4</v>
      </c>
      <c r="O74" s="1" t="s">
        <v>4</v>
      </c>
      <c r="P74" s="1" t="s">
        <v>4</v>
      </c>
    </row>
    <row r="75" spans="1:37">
      <c r="A75" s="1" t="s">
        <v>6</v>
      </c>
      <c r="B75" s="1" t="s">
        <v>7</v>
      </c>
      <c r="D75" s="1">
        <v>0.03</v>
      </c>
      <c r="E75" s="1">
        <v>0.04</v>
      </c>
      <c r="F75" s="1">
        <v>0.02</v>
      </c>
      <c r="G75" s="1">
        <v>0.03</v>
      </c>
      <c r="H75" s="1">
        <v>0.04</v>
      </c>
      <c r="J75" s="1">
        <v>0.05</v>
      </c>
      <c r="K75" s="1">
        <v>0.04</v>
      </c>
      <c r="L75" s="1">
        <v>0.04</v>
      </c>
      <c r="M75" s="1">
        <v>0.03</v>
      </c>
      <c r="N75" s="1">
        <v>0.03</v>
      </c>
      <c r="O75" s="1">
        <v>0.04</v>
      </c>
      <c r="P75" s="1">
        <v>0.04</v>
      </c>
    </row>
    <row r="76" spans="1:37">
      <c r="B76" s="1" t="s">
        <v>8</v>
      </c>
      <c r="D76" s="1">
        <v>0.1</v>
      </c>
      <c r="E76" s="1">
        <v>0.03</v>
      </c>
      <c r="F76" s="1">
        <v>0.03</v>
      </c>
      <c r="G76" s="1">
        <v>0.02</v>
      </c>
      <c r="H76" s="1">
        <v>0.03</v>
      </c>
      <c r="J76" s="1">
        <v>0.05</v>
      </c>
      <c r="K76" s="1">
        <v>0.05</v>
      </c>
      <c r="L76" s="1">
        <v>0.03</v>
      </c>
      <c r="M76" s="1">
        <v>0.04</v>
      </c>
      <c r="N76" s="1">
        <v>0.04</v>
      </c>
      <c r="O76" s="1">
        <v>0.04</v>
      </c>
      <c r="P76" s="1">
        <v>0.04</v>
      </c>
    </row>
    <row r="77" spans="1:37">
      <c r="B77" s="1" t="s">
        <v>9</v>
      </c>
      <c r="D77" s="1">
        <v>0.87</v>
      </c>
      <c r="E77" s="1">
        <v>1.51</v>
      </c>
      <c r="F77" s="1">
        <v>0.94</v>
      </c>
      <c r="G77" s="1">
        <v>1.27</v>
      </c>
      <c r="H77" s="1">
        <v>4.83</v>
      </c>
      <c r="J77" s="1">
        <v>6.28</v>
      </c>
      <c r="K77" s="1">
        <v>2.94</v>
      </c>
      <c r="L77" s="1">
        <v>4.09</v>
      </c>
      <c r="M77" s="1">
        <v>4.89</v>
      </c>
      <c r="N77" s="1">
        <v>4.19</v>
      </c>
      <c r="O77" s="1">
        <v>12.68</v>
      </c>
      <c r="P77" s="1">
        <v>5.2</v>
      </c>
    </row>
    <row r="78" spans="1:37">
      <c r="B78" s="1" t="s">
        <v>10</v>
      </c>
      <c r="D78" s="1">
        <v>0.1</v>
      </c>
      <c r="E78" s="1">
        <v>0.14</v>
      </c>
      <c r="F78" s="1">
        <v>0.21</v>
      </c>
      <c r="G78" s="1">
        <v>0.91</v>
      </c>
      <c r="H78" s="1">
        <v>0.29</v>
      </c>
      <c r="J78" s="1">
        <v>0.42</v>
      </c>
      <c r="K78" s="1">
        <v>0.33</v>
      </c>
      <c r="L78" s="1">
        <v>0.24</v>
      </c>
      <c r="M78" s="1">
        <v>2.14</v>
      </c>
      <c r="N78" s="1">
        <v>1.83</v>
      </c>
      <c r="O78" s="1">
        <v>4.78</v>
      </c>
      <c r="P78" s="1">
        <v>2.88</v>
      </c>
    </row>
    <row r="79" spans="1:37">
      <c r="B79" s="1" t="s">
        <v>11</v>
      </c>
      <c r="D79" s="1">
        <v>0.05</v>
      </c>
      <c r="E79" s="1">
        <v>0.09</v>
      </c>
      <c r="F79" s="1">
        <v>0.06</v>
      </c>
      <c r="G79" s="1">
        <v>0.06</v>
      </c>
      <c r="H79" s="1">
        <v>0.12</v>
      </c>
      <c r="J79" s="1">
        <v>0.09</v>
      </c>
      <c r="K79" s="1">
        <v>0.09</v>
      </c>
      <c r="L79" s="1">
        <v>0.08</v>
      </c>
      <c r="M79" s="1">
        <v>0.06</v>
      </c>
      <c r="N79" s="1">
        <v>0.24</v>
      </c>
      <c r="O79" s="1">
        <v>0.08</v>
      </c>
      <c r="P79" s="1">
        <v>0.1</v>
      </c>
    </row>
    <row r="80" spans="1:37">
      <c r="A80" s="1" t="s">
        <v>12</v>
      </c>
      <c r="C80" s="1" t="s">
        <v>135</v>
      </c>
      <c r="D80" s="1" t="s">
        <v>16</v>
      </c>
      <c r="E80" s="1" t="s">
        <v>43</v>
      </c>
      <c r="F80" s="1" t="s">
        <v>17</v>
      </c>
      <c r="G80" s="1" t="s">
        <v>44</v>
      </c>
      <c r="H80" s="1" t="s">
        <v>45</v>
      </c>
      <c r="I80" s="1" t="s">
        <v>136</v>
      </c>
      <c r="J80" s="1" t="s">
        <v>137</v>
      </c>
      <c r="K80" s="1" t="s">
        <v>138</v>
      </c>
      <c r="L80" s="1" t="s">
        <v>139</v>
      </c>
      <c r="M80" s="1" t="s">
        <v>140</v>
      </c>
      <c r="N80" s="1" t="s">
        <v>141</v>
      </c>
      <c r="O80" s="1" t="s">
        <v>142</v>
      </c>
      <c r="P80" s="1" t="s">
        <v>143</v>
      </c>
    </row>
    <row r="81" spans="1:28">
      <c r="A81" s="1" t="s">
        <v>21</v>
      </c>
      <c r="C81" s="1">
        <v>10.285</v>
      </c>
      <c r="D81" s="1">
        <v>1.17</v>
      </c>
      <c r="E81" s="1">
        <v>1.844</v>
      </c>
      <c r="F81" s="1">
        <v>1.326</v>
      </c>
      <c r="G81" s="1">
        <v>2.339</v>
      </c>
      <c r="H81" s="1">
        <v>5.377</v>
      </c>
      <c r="I81" s="1">
        <v>6.218</v>
      </c>
      <c r="J81" s="1">
        <v>6.974</v>
      </c>
      <c r="K81" s="1">
        <v>3.558</v>
      </c>
      <c r="L81" s="1">
        <v>4.521</v>
      </c>
      <c r="M81" s="1">
        <v>7.201</v>
      </c>
      <c r="N81" s="1">
        <v>6.35</v>
      </c>
      <c r="O81" s="1">
        <v>17.672</v>
      </c>
      <c r="P81" s="1">
        <v>8.317</v>
      </c>
    </row>
    <row r="82" spans="1:28">
      <c r="A82" s="1" t="s">
        <v>22</v>
      </c>
      <c r="C82" s="1">
        <f>C81+D81+E81+F81+G81+H81+I81+J81+K81+L81+M81+N81+O81+P81</f>
        <v>83.152</v>
      </c>
    </row>
    <row r="83" spans="1:28">
      <c r="A83" s="1" t="s">
        <v>23</v>
      </c>
      <c r="C83" s="1">
        <v>2029</v>
      </c>
    </row>
    <row r="84" spans="1:28">
      <c r="A84" s="1" t="s">
        <v>24</v>
      </c>
      <c r="C84" s="3">
        <f>C82/C83</f>
        <v>0.0409817644159685</v>
      </c>
    </row>
    <row r="85" spans="1:28">
      <c r="A85" s="1" t="s">
        <v>25</v>
      </c>
      <c r="C85" s="3">
        <f>SUMIF(C74:P74,"Young",C81:P81)/C83</f>
        <v>0.032848201084278</v>
      </c>
    </row>
    <row r="86" spans="1:28">
      <c r="C86" s="1" t="s">
        <v>144</v>
      </c>
    </row>
    <row r="87" spans="1:28">
      <c r="A87" s="1" t="s">
        <v>2</v>
      </c>
      <c r="C87" s="1">
        <v>0</v>
      </c>
      <c r="D87" s="1">
        <v>1</v>
      </c>
      <c r="E87" s="1">
        <v>2</v>
      </c>
      <c r="F87" s="1">
        <v>3</v>
      </c>
      <c r="G87" s="1">
        <v>4</v>
      </c>
      <c r="H87" s="1">
        <v>5</v>
      </c>
      <c r="I87" s="1">
        <v>6</v>
      </c>
      <c r="J87" s="1">
        <v>7</v>
      </c>
      <c r="K87" s="1">
        <v>8</v>
      </c>
      <c r="L87" s="1">
        <v>9</v>
      </c>
      <c r="M87" s="1">
        <v>10</v>
      </c>
      <c r="N87" s="1">
        <v>11</v>
      </c>
      <c r="O87" s="1">
        <v>12</v>
      </c>
      <c r="P87" s="1">
        <v>13</v>
      </c>
      <c r="Q87" s="1">
        <v>14</v>
      </c>
      <c r="R87" s="1">
        <v>15</v>
      </c>
      <c r="S87" s="1">
        <v>16</v>
      </c>
      <c r="T87" s="1">
        <v>17</v>
      </c>
      <c r="U87" s="1">
        <v>18</v>
      </c>
      <c r="V87" s="1">
        <v>19</v>
      </c>
      <c r="W87" s="1">
        <v>20</v>
      </c>
      <c r="X87" s="1">
        <v>21</v>
      </c>
      <c r="Y87" s="1">
        <v>22</v>
      </c>
      <c r="Z87" s="1">
        <v>23</v>
      </c>
      <c r="AA87" s="1">
        <v>24</v>
      </c>
      <c r="AB87" s="1">
        <v>25</v>
      </c>
    </row>
    <row r="88" spans="1:28">
      <c r="A88" s="1" t="s">
        <v>3</v>
      </c>
      <c r="C88" s="1" t="s">
        <v>5</v>
      </c>
      <c r="D88" s="1" t="s">
        <v>4</v>
      </c>
      <c r="E88" s="1" t="s">
        <v>4</v>
      </c>
      <c r="F88" s="1" t="s">
        <v>145</v>
      </c>
      <c r="G88" s="1" t="s">
        <v>4</v>
      </c>
      <c r="H88" s="1" t="s">
        <v>4</v>
      </c>
      <c r="I88" s="1" t="s">
        <v>61</v>
      </c>
      <c r="J88" s="1" t="s">
        <v>4</v>
      </c>
      <c r="K88" s="1" t="s">
        <v>4</v>
      </c>
      <c r="L88" s="1" t="s">
        <v>4</v>
      </c>
      <c r="M88" s="1" t="s">
        <v>4</v>
      </c>
      <c r="N88" s="1" t="s">
        <v>61</v>
      </c>
      <c r="O88" s="1" t="s">
        <v>4</v>
      </c>
      <c r="P88" s="1" t="s">
        <v>4</v>
      </c>
      <c r="Q88" s="1" t="s">
        <v>4</v>
      </c>
      <c r="R88" s="1" t="s">
        <v>4</v>
      </c>
      <c r="S88" s="1" t="s">
        <v>4</v>
      </c>
      <c r="T88" s="1" t="s">
        <v>4</v>
      </c>
      <c r="U88" s="1" t="s">
        <v>4</v>
      </c>
      <c r="V88" s="1" t="s">
        <v>4</v>
      </c>
      <c r="W88" s="1" t="s">
        <v>4</v>
      </c>
      <c r="X88" s="1" t="s">
        <v>4</v>
      </c>
      <c r="Y88" s="1" t="s">
        <v>4</v>
      </c>
      <c r="Z88" s="1" t="s">
        <v>4</v>
      </c>
      <c r="AA88" s="1" t="s">
        <v>4</v>
      </c>
      <c r="AB88" s="1" t="s">
        <v>4</v>
      </c>
    </row>
    <row r="89" spans="1:28">
      <c r="A89" s="1" t="s">
        <v>6</v>
      </c>
      <c r="B89" s="1" t="s">
        <v>7</v>
      </c>
      <c r="D89" s="1">
        <v>0.05</v>
      </c>
      <c r="E89" s="1">
        <v>0.03</v>
      </c>
      <c r="G89" s="1">
        <v>0.08</v>
      </c>
      <c r="H89" s="1">
        <v>0.05</v>
      </c>
      <c r="J89" s="1">
        <v>0.03</v>
      </c>
      <c r="K89" s="1">
        <v>0.04</v>
      </c>
      <c r="L89" s="1">
        <v>0.06</v>
      </c>
      <c r="M89" s="1">
        <v>0.04</v>
      </c>
      <c r="O89" s="1">
        <v>0.03</v>
      </c>
      <c r="P89" s="1">
        <v>0.05</v>
      </c>
      <c r="Q89" s="1">
        <v>0.06</v>
      </c>
      <c r="R89" s="1">
        <v>0.05</v>
      </c>
      <c r="S89" s="1">
        <v>0.08</v>
      </c>
      <c r="T89" s="1">
        <v>0.04</v>
      </c>
      <c r="U89" s="1">
        <v>0.08</v>
      </c>
      <c r="V89" s="1">
        <v>0.1</v>
      </c>
      <c r="W89" s="1">
        <v>0.07</v>
      </c>
      <c r="X89" s="1">
        <v>0.09</v>
      </c>
      <c r="Y89" s="1">
        <v>0.05</v>
      </c>
      <c r="Z89" s="1">
        <v>0.04</v>
      </c>
      <c r="AA89" s="1">
        <v>0.08</v>
      </c>
      <c r="AB89" s="1">
        <v>0.08</v>
      </c>
    </row>
    <row r="90" spans="1:28">
      <c r="B90" s="1" t="s">
        <v>8</v>
      </c>
      <c r="D90" s="1">
        <v>0.18</v>
      </c>
      <c r="E90" s="1">
        <v>0.02</v>
      </c>
      <c r="G90" s="1">
        <v>0.05</v>
      </c>
      <c r="H90" s="1">
        <v>0.02</v>
      </c>
      <c r="J90" s="1">
        <v>0.02</v>
      </c>
      <c r="K90" s="1">
        <v>0.04</v>
      </c>
      <c r="L90" s="1">
        <v>0.07</v>
      </c>
      <c r="M90" s="1">
        <v>0.04</v>
      </c>
      <c r="O90" s="1">
        <v>0.03</v>
      </c>
      <c r="P90" s="1">
        <v>0.03</v>
      </c>
      <c r="Q90" s="1">
        <v>0.05</v>
      </c>
      <c r="R90" s="1">
        <v>0.05</v>
      </c>
      <c r="S90" s="1">
        <v>0.07</v>
      </c>
      <c r="T90" s="1">
        <v>0.03</v>
      </c>
      <c r="U90" s="1">
        <v>0.04</v>
      </c>
      <c r="V90" s="1">
        <v>0.07</v>
      </c>
      <c r="W90" s="1">
        <v>0.06</v>
      </c>
      <c r="X90" s="1">
        <v>0.09</v>
      </c>
      <c r="Y90" s="1">
        <v>0.03</v>
      </c>
      <c r="Z90" s="1">
        <v>0.03</v>
      </c>
      <c r="AA90" s="1">
        <v>0.08</v>
      </c>
      <c r="AB90" s="1">
        <v>0.07</v>
      </c>
    </row>
    <row r="91" spans="1:28">
      <c r="B91" s="1" t="s">
        <v>9</v>
      </c>
      <c r="D91" s="1">
        <v>2.05</v>
      </c>
      <c r="E91" s="1">
        <v>1.39</v>
      </c>
      <c r="G91" s="1">
        <v>2.66</v>
      </c>
      <c r="H91" s="1">
        <v>2.55</v>
      </c>
      <c r="J91" s="1">
        <v>2.61</v>
      </c>
      <c r="K91" s="1">
        <v>6.74</v>
      </c>
      <c r="L91" s="1">
        <v>7.16</v>
      </c>
      <c r="M91" s="1">
        <v>2.98</v>
      </c>
      <c r="O91" s="1">
        <v>1.75</v>
      </c>
      <c r="P91" s="1">
        <v>2.68</v>
      </c>
      <c r="Q91" s="1">
        <v>1.02</v>
      </c>
      <c r="R91" s="1">
        <v>1.21</v>
      </c>
      <c r="S91" s="1">
        <v>22.07</v>
      </c>
      <c r="T91" s="1">
        <v>11.68</v>
      </c>
      <c r="U91" s="1">
        <v>10.32</v>
      </c>
      <c r="V91" s="1">
        <v>16.32</v>
      </c>
      <c r="W91" s="1">
        <v>8.84</v>
      </c>
      <c r="X91" s="1">
        <v>9.57</v>
      </c>
      <c r="Y91" s="1">
        <v>8.34</v>
      </c>
      <c r="Z91" s="1">
        <v>10</v>
      </c>
      <c r="AA91" s="1">
        <v>8.66</v>
      </c>
      <c r="AB91" s="1">
        <v>8.38</v>
      </c>
    </row>
    <row r="92" spans="1:28">
      <c r="B92" s="1" t="s">
        <v>10</v>
      </c>
      <c r="D92" s="1">
        <v>0.11</v>
      </c>
      <c r="E92" s="1">
        <v>0.12</v>
      </c>
      <c r="G92" s="1">
        <v>0.29</v>
      </c>
      <c r="H92" s="1">
        <v>0.14</v>
      </c>
      <c r="J92" s="1">
        <v>0.66</v>
      </c>
      <c r="K92" s="1">
        <v>0.14</v>
      </c>
      <c r="L92" s="1">
        <v>0.22</v>
      </c>
      <c r="M92" s="1">
        <v>0.29</v>
      </c>
      <c r="O92" s="1">
        <v>0.12</v>
      </c>
      <c r="P92" s="1">
        <v>2.07</v>
      </c>
      <c r="Q92" s="1">
        <v>0.22</v>
      </c>
      <c r="R92" s="1">
        <v>0.22</v>
      </c>
      <c r="S92" s="1">
        <v>0.43</v>
      </c>
      <c r="T92" s="1">
        <v>0.43</v>
      </c>
      <c r="U92" s="1">
        <v>3.38</v>
      </c>
      <c r="V92" s="1">
        <v>0.39</v>
      </c>
      <c r="W92" s="1">
        <v>0.35</v>
      </c>
      <c r="X92" s="1">
        <v>0.42</v>
      </c>
      <c r="Y92" s="1">
        <v>0.35</v>
      </c>
      <c r="Z92" s="1">
        <v>0.38</v>
      </c>
      <c r="AA92" s="1">
        <v>0.5</v>
      </c>
      <c r="AB92" s="1">
        <v>0.55</v>
      </c>
    </row>
    <row r="93" spans="1:28">
      <c r="B93" s="1" t="s">
        <v>11</v>
      </c>
      <c r="D93" s="1">
        <v>0.06</v>
      </c>
      <c r="E93" s="1">
        <v>0.06</v>
      </c>
      <c r="G93" s="1">
        <v>0.08</v>
      </c>
      <c r="H93" s="1">
        <v>0.08</v>
      </c>
      <c r="J93" s="1">
        <v>0.04</v>
      </c>
      <c r="K93" s="1">
        <v>0.05</v>
      </c>
      <c r="L93" s="1">
        <v>0.06</v>
      </c>
      <c r="M93" s="1">
        <v>0.11</v>
      </c>
      <c r="O93" s="1">
        <v>0.05</v>
      </c>
      <c r="P93" s="1">
        <v>0.08</v>
      </c>
      <c r="Q93" s="1">
        <v>0.11</v>
      </c>
      <c r="R93" s="1">
        <v>0.09</v>
      </c>
      <c r="S93" s="1">
        <v>0.1</v>
      </c>
      <c r="T93" s="1">
        <v>0.08</v>
      </c>
      <c r="U93" s="1">
        <v>0.11</v>
      </c>
      <c r="V93" s="1">
        <v>0.14</v>
      </c>
      <c r="W93" s="1">
        <v>0.14</v>
      </c>
      <c r="X93" s="1">
        <v>0.11</v>
      </c>
      <c r="Y93" s="1">
        <v>0.09</v>
      </c>
      <c r="Z93" s="1">
        <v>0.1</v>
      </c>
      <c r="AA93" s="1">
        <v>0.13</v>
      </c>
      <c r="AB93" s="1">
        <v>0.09</v>
      </c>
    </row>
    <row r="94" spans="1:28">
      <c r="A94" s="1" t="s">
        <v>12</v>
      </c>
      <c r="C94" s="1" t="s">
        <v>146</v>
      </c>
      <c r="D94" s="1" t="s">
        <v>17</v>
      </c>
      <c r="E94" s="1" t="s">
        <v>147</v>
      </c>
      <c r="G94" s="1" t="s">
        <v>148</v>
      </c>
      <c r="H94" s="1" t="s">
        <v>149</v>
      </c>
      <c r="I94" s="1" t="s">
        <v>150</v>
      </c>
      <c r="J94" s="1" t="s">
        <v>151</v>
      </c>
      <c r="K94" s="1" t="s">
        <v>152</v>
      </c>
      <c r="L94" s="1" t="s">
        <v>153</v>
      </c>
      <c r="M94" s="1" t="s">
        <v>154</v>
      </c>
      <c r="N94" s="1" t="s">
        <v>155</v>
      </c>
      <c r="O94" s="1" t="s">
        <v>156</v>
      </c>
      <c r="P94" s="1" t="s">
        <v>157</v>
      </c>
      <c r="Q94" s="1" t="s">
        <v>158</v>
      </c>
      <c r="R94" s="1" t="s">
        <v>159</v>
      </c>
      <c r="S94" s="1" t="s">
        <v>160</v>
      </c>
      <c r="T94" s="1" t="s">
        <v>161</v>
      </c>
      <c r="U94" s="1" t="s">
        <v>162</v>
      </c>
      <c r="V94" s="1" t="s">
        <v>163</v>
      </c>
      <c r="W94" s="1" t="s">
        <v>164</v>
      </c>
      <c r="X94" s="1" t="s">
        <v>165</v>
      </c>
      <c r="Y94" s="1" t="s">
        <v>166</v>
      </c>
      <c r="Z94" s="1" t="s">
        <v>167</v>
      </c>
      <c r="AA94" s="1" t="s">
        <v>165</v>
      </c>
      <c r="AB94" s="1" t="s">
        <v>167</v>
      </c>
    </row>
    <row r="95" spans="1:28">
      <c r="A95" s="1" t="s">
        <v>21</v>
      </c>
      <c r="C95" s="1">
        <v>9.772</v>
      </c>
      <c r="D95" s="1">
        <v>2.481</v>
      </c>
      <c r="E95" s="1">
        <v>1.683</v>
      </c>
      <c r="F95" s="1">
        <v>1.51</v>
      </c>
      <c r="G95" s="1">
        <v>3.232</v>
      </c>
      <c r="H95" s="1">
        <v>2.878</v>
      </c>
      <c r="I95" s="1">
        <v>12.827</v>
      </c>
      <c r="J95" s="1">
        <v>3.433</v>
      </c>
      <c r="K95" s="1">
        <v>7.092</v>
      </c>
      <c r="L95" s="1">
        <v>7.657</v>
      </c>
      <c r="M95" s="1">
        <v>3.537</v>
      </c>
      <c r="N95" s="1">
        <v>17.877</v>
      </c>
      <c r="O95" s="1">
        <v>2.016</v>
      </c>
      <c r="P95" s="1">
        <v>4.944</v>
      </c>
      <c r="Q95" s="1">
        <v>1.481</v>
      </c>
      <c r="R95" s="1">
        <v>1.66</v>
      </c>
      <c r="S95" s="1">
        <v>22.862</v>
      </c>
      <c r="T95" s="1">
        <v>12.319</v>
      </c>
      <c r="U95" s="1">
        <v>13.973</v>
      </c>
      <c r="V95" s="1">
        <v>17.1</v>
      </c>
      <c r="W95" s="1">
        <v>9.5</v>
      </c>
      <c r="X95" s="1">
        <v>10.367</v>
      </c>
      <c r="Y95" s="1">
        <v>8.94</v>
      </c>
      <c r="Z95" s="1">
        <v>10.632</v>
      </c>
      <c r="AA95" s="1">
        <v>9.542</v>
      </c>
      <c r="AB95" s="1">
        <v>9.269</v>
      </c>
    </row>
    <row r="96" spans="1:28">
      <c r="A96" s="1" t="s">
        <v>22</v>
      </c>
      <c r="C96" s="1">
        <f>C95+D95+E95+F95+G95+H95+I95+J95+K95+L95+M95+N95+O95+P95+Q95+R95+S95+T95+U95+V95+W95+X95+Y95+Z95+AA95+AB95</f>
        <v>208.584</v>
      </c>
    </row>
    <row r="97" spans="1:48">
      <c r="A97" s="1" t="s">
        <v>23</v>
      </c>
      <c r="C97" s="1">
        <v>3946</v>
      </c>
    </row>
    <row r="98" spans="1:48">
      <c r="A98" s="1" t="s">
        <v>24</v>
      </c>
      <c r="C98" s="3">
        <f>C96/C97</f>
        <v>0.0528596046629498</v>
      </c>
    </row>
    <row r="99" spans="1:48">
      <c r="A99" s="1" t="s">
        <v>25</v>
      </c>
      <c r="C99" s="3">
        <f>SUMIF(C88:AB88,"Young",C95:AB95)/C97</f>
        <v>0.0422194627470857</v>
      </c>
    </row>
    <row r="100" spans="1:48">
      <c r="C100" s="1" t="s">
        <v>168</v>
      </c>
    </row>
    <row r="101" spans="1:48">
      <c r="A101" s="1" t="s">
        <v>2</v>
      </c>
      <c r="C101" s="1">
        <v>0</v>
      </c>
      <c r="D101" s="1">
        <v>1</v>
      </c>
      <c r="E101" s="1">
        <v>2</v>
      </c>
      <c r="F101" s="1">
        <v>3</v>
      </c>
      <c r="G101" s="1">
        <v>4</v>
      </c>
      <c r="H101" s="1">
        <v>5</v>
      </c>
      <c r="I101" s="1">
        <v>6</v>
      </c>
      <c r="J101" s="1">
        <v>7</v>
      </c>
      <c r="K101" s="1">
        <v>8</v>
      </c>
      <c r="L101" s="1">
        <v>9</v>
      </c>
      <c r="M101" s="1">
        <v>10</v>
      </c>
      <c r="N101" s="1">
        <v>11</v>
      </c>
      <c r="O101" s="1">
        <v>12</v>
      </c>
      <c r="P101" s="1">
        <v>13</v>
      </c>
      <c r="Q101" s="1">
        <v>14</v>
      </c>
      <c r="R101" s="1">
        <v>15</v>
      </c>
      <c r="S101" s="1">
        <v>16</v>
      </c>
      <c r="T101" s="1">
        <v>17</v>
      </c>
      <c r="U101" s="1">
        <v>18</v>
      </c>
      <c r="V101" s="1">
        <v>19</v>
      </c>
      <c r="W101" s="1">
        <v>20</v>
      </c>
      <c r="X101" s="1">
        <v>21</v>
      </c>
      <c r="Y101" s="1">
        <v>22</v>
      </c>
      <c r="Z101" s="1">
        <v>23</v>
      </c>
      <c r="AA101" s="1">
        <v>24</v>
      </c>
      <c r="AB101" s="1">
        <v>25</v>
      </c>
      <c r="AC101" s="1">
        <v>26</v>
      </c>
      <c r="AD101" s="1">
        <v>27</v>
      </c>
      <c r="AE101" s="1">
        <v>28</v>
      </c>
      <c r="AF101" s="1">
        <v>29</v>
      </c>
      <c r="AG101" s="1">
        <v>30</v>
      </c>
      <c r="AH101" s="1">
        <v>31</v>
      </c>
      <c r="AI101" s="1">
        <v>32</v>
      </c>
      <c r="AJ101" s="1">
        <v>33</v>
      </c>
      <c r="AK101" s="1">
        <v>34</v>
      </c>
      <c r="AL101" s="1">
        <v>35</v>
      </c>
      <c r="AM101" s="1">
        <v>36</v>
      </c>
      <c r="AN101" s="1">
        <v>37</v>
      </c>
      <c r="AO101" s="1">
        <v>38</v>
      </c>
      <c r="AP101" s="1">
        <v>39</v>
      </c>
      <c r="AQ101" s="1">
        <v>40</v>
      </c>
      <c r="AR101" s="1">
        <v>41</v>
      </c>
      <c r="AS101" s="1">
        <v>42</v>
      </c>
      <c r="AT101" s="1">
        <v>43</v>
      </c>
      <c r="AU101" s="1">
        <v>44</v>
      </c>
      <c r="AV101" s="1">
        <v>45</v>
      </c>
    </row>
    <row r="102" spans="1:48">
      <c r="A102" s="1" t="s">
        <v>3</v>
      </c>
      <c r="C102" s="1" t="s">
        <v>4</v>
      </c>
      <c r="D102" s="1" t="s">
        <v>4</v>
      </c>
      <c r="E102" s="1" t="s">
        <v>4</v>
      </c>
      <c r="F102" s="1" t="s">
        <v>4</v>
      </c>
      <c r="G102" s="1" t="s">
        <v>4</v>
      </c>
      <c r="H102" s="1" t="s">
        <v>4</v>
      </c>
      <c r="I102" s="1" t="s">
        <v>4</v>
      </c>
      <c r="J102" s="1" t="s">
        <v>4</v>
      </c>
      <c r="K102" s="1" t="s">
        <v>4</v>
      </c>
      <c r="L102" s="1" t="s">
        <v>4</v>
      </c>
      <c r="M102" s="1" t="s">
        <v>4</v>
      </c>
      <c r="N102" s="1" t="s">
        <v>4</v>
      </c>
      <c r="O102" s="1" t="s">
        <v>4</v>
      </c>
      <c r="P102" s="1" t="s">
        <v>4</v>
      </c>
      <c r="Q102" s="1" t="s">
        <v>4</v>
      </c>
      <c r="R102" s="1" t="s">
        <v>4</v>
      </c>
      <c r="S102" s="1" t="s">
        <v>4</v>
      </c>
      <c r="T102" s="1" t="s">
        <v>4</v>
      </c>
      <c r="U102" s="1" t="s">
        <v>4</v>
      </c>
      <c r="V102" s="1" t="s">
        <v>4</v>
      </c>
      <c r="W102" s="1" t="s">
        <v>4</v>
      </c>
      <c r="X102" s="1" t="s">
        <v>4</v>
      </c>
      <c r="Y102" s="1" t="s">
        <v>4</v>
      </c>
      <c r="Z102" s="1" t="s">
        <v>4</v>
      </c>
      <c r="AA102" s="1" t="s">
        <v>4</v>
      </c>
      <c r="AB102" s="1" t="s">
        <v>4</v>
      </c>
      <c r="AC102" s="1" t="s">
        <v>4</v>
      </c>
      <c r="AD102" s="1" t="s">
        <v>4</v>
      </c>
      <c r="AE102" s="1" t="s">
        <v>4</v>
      </c>
      <c r="AF102" s="1" t="s">
        <v>4</v>
      </c>
      <c r="AG102" s="1" t="s">
        <v>4</v>
      </c>
      <c r="AH102" s="1" t="s">
        <v>5</v>
      </c>
      <c r="AI102" s="1" t="s">
        <v>4</v>
      </c>
      <c r="AJ102" s="1" t="s">
        <v>4</v>
      </c>
      <c r="AK102" s="1" t="s">
        <v>4</v>
      </c>
      <c r="AL102" s="1" t="s">
        <v>4</v>
      </c>
      <c r="AM102" s="1" t="s">
        <v>4</v>
      </c>
      <c r="AN102" s="1" t="s">
        <v>4</v>
      </c>
      <c r="AO102" s="1" t="s">
        <v>4</v>
      </c>
      <c r="AP102" s="1" t="s">
        <v>4</v>
      </c>
      <c r="AQ102" s="1" t="s">
        <v>4</v>
      </c>
      <c r="AR102" s="1" t="s">
        <v>4</v>
      </c>
      <c r="AS102" s="1" t="s">
        <v>4</v>
      </c>
      <c r="AT102" s="1" t="s">
        <v>4</v>
      </c>
      <c r="AU102" s="1" t="s">
        <v>4</v>
      </c>
      <c r="AV102" s="1" t="s">
        <v>4</v>
      </c>
    </row>
    <row r="103" spans="1:48">
      <c r="A103" s="1" t="s">
        <v>6</v>
      </c>
      <c r="B103" s="1" t="s">
        <v>7</v>
      </c>
      <c r="C103" s="1">
        <v>0.03</v>
      </c>
      <c r="D103" s="1">
        <v>0.04</v>
      </c>
      <c r="E103" s="1">
        <v>0.03</v>
      </c>
      <c r="F103" s="1">
        <v>0.04</v>
      </c>
      <c r="G103" s="1">
        <v>0.03</v>
      </c>
      <c r="H103" s="1">
        <v>0.05</v>
      </c>
      <c r="I103" s="1">
        <v>0.07</v>
      </c>
      <c r="J103" s="1">
        <v>0.04</v>
      </c>
      <c r="K103" s="1">
        <v>0.03</v>
      </c>
      <c r="L103" s="1">
        <v>0.1</v>
      </c>
      <c r="M103" s="1">
        <v>0.08</v>
      </c>
      <c r="N103" s="1">
        <v>0.05</v>
      </c>
      <c r="O103" s="1">
        <v>0.06</v>
      </c>
      <c r="P103" s="1">
        <v>0.07</v>
      </c>
      <c r="Q103" s="1">
        <v>0.06</v>
      </c>
      <c r="R103" s="1">
        <v>0.09</v>
      </c>
      <c r="S103" s="1">
        <v>0.06</v>
      </c>
      <c r="T103" s="1">
        <v>0.12</v>
      </c>
      <c r="U103" s="1">
        <v>0.12</v>
      </c>
      <c r="V103" s="1">
        <v>0.12</v>
      </c>
      <c r="W103" s="1">
        <v>0.11</v>
      </c>
      <c r="X103" s="1">
        <v>0.1</v>
      </c>
      <c r="Y103" s="1">
        <v>0.14</v>
      </c>
      <c r="Z103" s="1">
        <v>0.12</v>
      </c>
      <c r="AA103" s="1">
        <v>0.11</v>
      </c>
      <c r="AB103" s="1">
        <v>0.11</v>
      </c>
      <c r="AC103" s="1">
        <v>0.09</v>
      </c>
      <c r="AD103" s="1">
        <v>0.09</v>
      </c>
      <c r="AE103" s="1">
        <v>0.08</v>
      </c>
      <c r="AF103" s="1">
        <v>0.14</v>
      </c>
      <c r="AG103" s="1">
        <v>0.13</v>
      </c>
      <c r="AI103" s="1">
        <v>0.05</v>
      </c>
      <c r="AJ103" s="1">
        <v>0.05</v>
      </c>
      <c r="AK103" s="1">
        <v>0.05</v>
      </c>
      <c r="AL103" s="1">
        <v>0.05</v>
      </c>
      <c r="AM103" s="1">
        <v>0.06</v>
      </c>
      <c r="AN103" s="1">
        <v>0.05</v>
      </c>
      <c r="AO103" s="1">
        <v>0.05</v>
      </c>
      <c r="AP103" s="1">
        <v>0.05</v>
      </c>
      <c r="AQ103" s="1">
        <v>0.05</v>
      </c>
      <c r="AR103" s="1">
        <v>0.06</v>
      </c>
      <c r="AS103" s="1">
        <v>0.05</v>
      </c>
      <c r="AT103" s="1">
        <v>0.05</v>
      </c>
      <c r="AU103" s="1">
        <v>0.12</v>
      </c>
      <c r="AV103" s="1">
        <v>0.11</v>
      </c>
    </row>
    <row r="104" spans="1:48">
      <c r="B104" s="1" t="s">
        <v>8</v>
      </c>
      <c r="C104" s="1">
        <v>0.09</v>
      </c>
      <c r="D104" s="1">
        <v>0.04</v>
      </c>
      <c r="E104" s="1">
        <v>0.03</v>
      </c>
      <c r="F104" s="1">
        <v>0.03</v>
      </c>
      <c r="G104" s="1">
        <v>0.02</v>
      </c>
      <c r="H104" s="1">
        <v>0.02</v>
      </c>
      <c r="I104" s="1">
        <v>0.03</v>
      </c>
      <c r="J104" s="1">
        <v>0.03</v>
      </c>
      <c r="K104" s="1">
        <v>0.03</v>
      </c>
      <c r="L104" s="1">
        <v>0.07</v>
      </c>
      <c r="M104" s="1">
        <v>0.05</v>
      </c>
      <c r="N104" s="1">
        <v>0.03</v>
      </c>
      <c r="O104" s="1">
        <v>0.03</v>
      </c>
      <c r="P104" s="1">
        <v>0.04</v>
      </c>
      <c r="Q104" s="1">
        <v>0.07</v>
      </c>
      <c r="R104" s="1">
        <v>0.02</v>
      </c>
      <c r="S104" s="1">
        <v>0.03</v>
      </c>
      <c r="T104" s="1">
        <v>0.04</v>
      </c>
      <c r="U104" s="1">
        <v>0.05</v>
      </c>
      <c r="V104" s="1">
        <v>0.08</v>
      </c>
      <c r="W104" s="1">
        <v>0.08</v>
      </c>
      <c r="X104" s="1">
        <v>0.05</v>
      </c>
      <c r="Y104" s="1">
        <v>0.1</v>
      </c>
      <c r="Z104" s="1">
        <v>0.07</v>
      </c>
      <c r="AA104" s="1">
        <v>0.1</v>
      </c>
      <c r="AB104" s="1">
        <v>0.05</v>
      </c>
      <c r="AC104" s="1">
        <v>0.05</v>
      </c>
      <c r="AD104" s="1">
        <v>0.15</v>
      </c>
      <c r="AE104" s="1">
        <v>0.14</v>
      </c>
      <c r="AF104" s="1">
        <v>0.18</v>
      </c>
      <c r="AG104" s="1">
        <v>0.08</v>
      </c>
      <c r="AI104" s="1">
        <v>0.04</v>
      </c>
      <c r="AJ104" s="1">
        <v>0.03</v>
      </c>
      <c r="AK104" s="1">
        <v>0.03</v>
      </c>
      <c r="AL104" s="1">
        <v>0.03</v>
      </c>
      <c r="AM104" s="1">
        <v>0.04</v>
      </c>
      <c r="AN104" s="1">
        <v>0.03</v>
      </c>
      <c r="AO104" s="1">
        <v>0.04</v>
      </c>
      <c r="AP104" s="1">
        <v>0.04</v>
      </c>
      <c r="AQ104" s="1">
        <v>0.03</v>
      </c>
      <c r="AR104" s="1">
        <v>0.04</v>
      </c>
      <c r="AS104" s="1">
        <v>0.03</v>
      </c>
      <c r="AT104" s="1">
        <v>0.04</v>
      </c>
      <c r="AU104" s="1">
        <v>0.07</v>
      </c>
      <c r="AV104" s="1">
        <v>0.12</v>
      </c>
    </row>
    <row r="105" spans="1:48">
      <c r="B105" s="1" t="s">
        <v>9</v>
      </c>
      <c r="C105" s="1">
        <v>5.33</v>
      </c>
      <c r="D105" s="1">
        <v>5.12</v>
      </c>
      <c r="E105" s="1">
        <v>4.14</v>
      </c>
      <c r="F105" s="1">
        <v>4.52</v>
      </c>
      <c r="G105" s="1">
        <v>4.09</v>
      </c>
      <c r="H105" s="1">
        <v>11.81</v>
      </c>
      <c r="I105" s="1">
        <v>10.68</v>
      </c>
      <c r="J105" s="1">
        <v>10.76</v>
      </c>
      <c r="K105" s="1">
        <v>12.05</v>
      </c>
      <c r="L105" s="1">
        <v>16.4</v>
      </c>
      <c r="M105" s="1">
        <v>23.67</v>
      </c>
      <c r="N105" s="1">
        <v>22.89</v>
      </c>
      <c r="O105" s="1">
        <v>34.84</v>
      </c>
      <c r="P105" s="1">
        <v>46.37</v>
      </c>
      <c r="Q105" s="1">
        <v>45.19</v>
      </c>
      <c r="R105" s="1">
        <v>65.26</v>
      </c>
      <c r="S105" s="1">
        <v>65.48</v>
      </c>
      <c r="T105" s="1">
        <v>63.01</v>
      </c>
      <c r="U105" s="1">
        <v>67.5</v>
      </c>
      <c r="V105" s="1">
        <v>83.2</v>
      </c>
      <c r="W105" s="1">
        <v>88.58</v>
      </c>
      <c r="X105" s="1">
        <v>61.97</v>
      </c>
      <c r="Y105" s="1">
        <v>81.93</v>
      </c>
      <c r="Z105" s="1">
        <v>75.82</v>
      </c>
      <c r="AA105" s="1">
        <v>206.52</v>
      </c>
      <c r="AB105" s="1">
        <v>111.3</v>
      </c>
      <c r="AC105" s="1">
        <v>46.21</v>
      </c>
      <c r="AD105" s="1">
        <v>207.49</v>
      </c>
      <c r="AE105" s="1">
        <v>171.44</v>
      </c>
      <c r="AF105" s="1">
        <v>224.23</v>
      </c>
      <c r="AG105" s="1">
        <v>123.66</v>
      </c>
      <c r="AI105" s="1">
        <v>31.66</v>
      </c>
      <c r="AJ105" s="1">
        <v>36.65</v>
      </c>
      <c r="AK105" s="1">
        <v>39.7</v>
      </c>
      <c r="AL105" s="1">
        <v>61.95</v>
      </c>
      <c r="AM105" s="1">
        <v>69.87</v>
      </c>
      <c r="AN105" s="1">
        <v>78.07</v>
      </c>
      <c r="AO105" s="1">
        <v>82.75</v>
      </c>
      <c r="AP105" s="1">
        <v>99.34</v>
      </c>
      <c r="AQ105" s="1">
        <v>106.7</v>
      </c>
      <c r="AR105" s="1">
        <v>123.99</v>
      </c>
      <c r="AS105" s="1">
        <v>129.89</v>
      </c>
      <c r="AT105" s="1">
        <v>142.39</v>
      </c>
      <c r="AU105" s="1">
        <v>370.81</v>
      </c>
      <c r="AV105" s="1">
        <v>63.26</v>
      </c>
    </row>
    <row r="106" spans="1:48">
      <c r="B106" s="1" t="s">
        <v>10</v>
      </c>
      <c r="C106" s="1">
        <v>0.24</v>
      </c>
      <c r="D106" s="1">
        <v>0.24</v>
      </c>
      <c r="E106" s="1">
        <v>0.15</v>
      </c>
      <c r="F106" s="1">
        <v>0.19</v>
      </c>
      <c r="G106" s="1">
        <v>1.66</v>
      </c>
      <c r="H106" s="1">
        <v>0.36</v>
      </c>
      <c r="I106" s="1">
        <v>0.19</v>
      </c>
      <c r="J106" s="1">
        <v>0.19</v>
      </c>
      <c r="K106" s="1">
        <v>3.07</v>
      </c>
      <c r="L106" s="1">
        <v>0.34</v>
      </c>
      <c r="M106" s="1">
        <v>0.24</v>
      </c>
      <c r="N106" s="1">
        <v>0.29</v>
      </c>
      <c r="O106" s="1">
        <v>3.65</v>
      </c>
      <c r="P106" s="1">
        <v>0.41</v>
      </c>
      <c r="Q106" s="1">
        <v>0.37</v>
      </c>
      <c r="R106" s="1">
        <v>0.31</v>
      </c>
      <c r="S106" s="1">
        <v>2.92</v>
      </c>
      <c r="T106" s="1">
        <v>0.4</v>
      </c>
      <c r="U106" s="1">
        <v>0.41</v>
      </c>
      <c r="V106" s="1">
        <v>0.42</v>
      </c>
      <c r="W106" s="1">
        <v>2.76</v>
      </c>
      <c r="X106" s="1">
        <v>0.52</v>
      </c>
      <c r="Y106" s="1">
        <v>0.44</v>
      </c>
      <c r="Z106" s="1">
        <v>0.47</v>
      </c>
      <c r="AA106" s="1">
        <v>1.57</v>
      </c>
      <c r="AB106" s="1">
        <v>0.54</v>
      </c>
      <c r="AC106" s="1">
        <v>0.61</v>
      </c>
      <c r="AD106" s="1">
        <v>0.58</v>
      </c>
      <c r="AE106" s="1">
        <v>0.44</v>
      </c>
      <c r="AF106" s="1">
        <v>1.96</v>
      </c>
      <c r="AG106" s="1">
        <v>0.25</v>
      </c>
      <c r="AI106" s="1">
        <v>0.49</v>
      </c>
      <c r="AJ106" s="1">
        <v>0.4</v>
      </c>
      <c r="AK106" s="1">
        <v>3.14</v>
      </c>
      <c r="AL106" s="1">
        <v>0.69</v>
      </c>
      <c r="AM106" s="1">
        <v>0.69</v>
      </c>
      <c r="AN106" s="1">
        <v>0.64</v>
      </c>
      <c r="AO106" s="1">
        <v>2.08</v>
      </c>
      <c r="AP106" s="1">
        <v>0.76</v>
      </c>
      <c r="AQ106" s="1">
        <v>0.71</v>
      </c>
      <c r="AR106" s="1">
        <v>0.71</v>
      </c>
      <c r="AS106" s="1">
        <v>1.78</v>
      </c>
      <c r="AT106" s="1">
        <v>0.86</v>
      </c>
      <c r="AU106" s="1">
        <v>0.71</v>
      </c>
      <c r="AV106" s="1">
        <v>0.63</v>
      </c>
    </row>
    <row r="107" spans="1:48">
      <c r="B107" s="1" t="s">
        <v>11</v>
      </c>
      <c r="C107" s="1">
        <v>0.07</v>
      </c>
      <c r="D107" s="1">
        <v>0.08</v>
      </c>
      <c r="E107" s="1">
        <v>0.08</v>
      </c>
      <c r="F107" s="1">
        <v>0.09</v>
      </c>
      <c r="G107" s="1">
        <v>0.08</v>
      </c>
      <c r="H107" s="1">
        <v>0.09</v>
      </c>
      <c r="I107" s="1">
        <v>0.1</v>
      </c>
      <c r="J107" s="1">
        <v>0.11</v>
      </c>
      <c r="K107" s="1">
        <v>0.11</v>
      </c>
      <c r="L107" s="1">
        <v>0.12</v>
      </c>
      <c r="M107" s="1">
        <v>0.08</v>
      </c>
      <c r="N107" s="1">
        <v>0.11</v>
      </c>
      <c r="O107" s="1">
        <v>0.11</v>
      </c>
      <c r="P107" s="1">
        <v>0.14</v>
      </c>
      <c r="Q107" s="1">
        <v>0.14</v>
      </c>
      <c r="R107" s="1">
        <v>0.09</v>
      </c>
      <c r="S107" s="1">
        <v>0.18</v>
      </c>
      <c r="T107" s="1">
        <v>0.09</v>
      </c>
      <c r="U107" s="1">
        <v>0.13</v>
      </c>
      <c r="V107" s="1">
        <v>0.1</v>
      </c>
      <c r="W107" s="1">
        <v>0.1</v>
      </c>
      <c r="X107" s="1">
        <v>0.1</v>
      </c>
      <c r="Y107" s="1">
        <v>0.12</v>
      </c>
      <c r="Z107" s="1">
        <v>0.11</v>
      </c>
      <c r="AA107" s="1">
        <v>0.26</v>
      </c>
      <c r="AB107" s="1">
        <v>0.15</v>
      </c>
      <c r="AC107" s="1">
        <v>0.12</v>
      </c>
      <c r="AD107" s="1">
        <v>0.16</v>
      </c>
      <c r="AE107" s="1">
        <v>0.12</v>
      </c>
      <c r="AF107" s="1">
        <v>0.24</v>
      </c>
      <c r="AG107" s="1">
        <v>0.12</v>
      </c>
      <c r="AI107" s="1">
        <v>0.11</v>
      </c>
      <c r="AJ107" s="1">
        <v>0.1</v>
      </c>
      <c r="AK107" s="1">
        <v>0.1</v>
      </c>
      <c r="AL107" s="1">
        <v>0.1</v>
      </c>
      <c r="AM107" s="1">
        <v>0.1</v>
      </c>
      <c r="AN107" s="1">
        <v>0.12</v>
      </c>
      <c r="AO107" s="1">
        <v>0.09</v>
      </c>
      <c r="AP107" s="1">
        <v>0.11</v>
      </c>
      <c r="AQ107" s="1">
        <v>0.09</v>
      </c>
      <c r="AR107" s="1">
        <v>0.1</v>
      </c>
      <c r="AS107" s="1">
        <v>0.09</v>
      </c>
      <c r="AT107" s="1">
        <v>0.1</v>
      </c>
      <c r="AU107" s="1">
        <v>0.18</v>
      </c>
      <c r="AV107" s="1">
        <v>0.11</v>
      </c>
    </row>
    <row r="108" spans="1:48">
      <c r="A108" s="1" t="s">
        <v>12</v>
      </c>
      <c r="C108" s="1" t="s">
        <v>169</v>
      </c>
      <c r="D108" s="1" t="s">
        <v>170</v>
      </c>
      <c r="E108" s="1" t="s">
        <v>46</v>
      </c>
      <c r="F108" s="1" t="s">
        <v>171</v>
      </c>
      <c r="G108" s="1" t="s">
        <v>172</v>
      </c>
      <c r="H108" s="1" t="s">
        <v>173</v>
      </c>
      <c r="I108" s="1" t="s">
        <v>174</v>
      </c>
      <c r="J108" s="1" t="s">
        <v>175</v>
      </c>
      <c r="K108" s="1" t="s">
        <v>176</v>
      </c>
      <c r="L108" s="1" t="s">
        <v>177</v>
      </c>
      <c r="M108" s="1" t="s">
        <v>178</v>
      </c>
      <c r="N108" s="1" t="s">
        <v>179</v>
      </c>
      <c r="O108" s="1" t="s">
        <v>180</v>
      </c>
      <c r="P108" s="1" t="s">
        <v>181</v>
      </c>
      <c r="Q108" s="1" t="s">
        <v>182</v>
      </c>
      <c r="R108" s="1" t="s">
        <v>183</v>
      </c>
      <c r="S108" s="1" t="s">
        <v>184</v>
      </c>
      <c r="T108" s="1" t="s">
        <v>185</v>
      </c>
      <c r="U108" s="1" t="s">
        <v>186</v>
      </c>
      <c r="V108" s="1" t="s">
        <v>187</v>
      </c>
      <c r="W108" s="1" t="s">
        <v>188</v>
      </c>
      <c r="X108" s="1" t="s">
        <v>189</v>
      </c>
      <c r="Y108" s="1" t="s">
        <v>190</v>
      </c>
      <c r="Z108" s="1" t="s">
        <v>191</v>
      </c>
      <c r="AA108" s="1" t="s">
        <v>192</v>
      </c>
      <c r="AB108" s="1" t="s">
        <v>193</v>
      </c>
      <c r="AC108" s="1" t="s">
        <v>194</v>
      </c>
      <c r="AD108" s="1" t="s">
        <v>195</v>
      </c>
      <c r="AE108" s="1" t="s">
        <v>196</v>
      </c>
      <c r="AF108" s="1" t="s">
        <v>197</v>
      </c>
      <c r="AG108" s="1" t="s">
        <v>198</v>
      </c>
      <c r="AH108" s="1" t="s">
        <v>199</v>
      </c>
      <c r="AI108" s="1" t="s">
        <v>200</v>
      </c>
      <c r="AJ108" s="1" t="s">
        <v>201</v>
      </c>
      <c r="AK108" s="1" t="s">
        <v>202</v>
      </c>
      <c r="AL108" s="1" t="s">
        <v>203</v>
      </c>
      <c r="AM108" s="1" t="s">
        <v>204</v>
      </c>
      <c r="AN108" s="1" t="s">
        <v>205</v>
      </c>
      <c r="AO108" s="1" t="s">
        <v>206</v>
      </c>
      <c r="AP108" s="1" t="s">
        <v>207</v>
      </c>
      <c r="AQ108" s="1" t="s">
        <v>208</v>
      </c>
      <c r="AR108" s="1" t="s">
        <v>209</v>
      </c>
      <c r="AS108" s="1" t="s">
        <v>210</v>
      </c>
      <c r="AT108" s="1" t="s">
        <v>211</v>
      </c>
      <c r="AU108" s="1" t="s">
        <v>212</v>
      </c>
      <c r="AV108" s="1" t="s">
        <v>213</v>
      </c>
    </row>
    <row r="109" spans="1:48">
      <c r="A109" s="1" t="s">
        <v>21</v>
      </c>
      <c r="C109" s="1">
        <v>5.851</v>
      </c>
      <c r="D109" s="1">
        <v>5.596</v>
      </c>
      <c r="E109" s="1">
        <v>4.481</v>
      </c>
      <c r="F109" s="1">
        <v>4.933</v>
      </c>
      <c r="G109" s="1">
        <v>5.917</v>
      </c>
      <c r="H109" s="1">
        <v>12.432</v>
      </c>
      <c r="I109" s="1">
        <v>11.166</v>
      </c>
      <c r="J109" s="1">
        <v>11.221</v>
      </c>
      <c r="K109" s="1">
        <v>15.333</v>
      </c>
      <c r="L109" s="1">
        <v>17.122</v>
      </c>
      <c r="M109" s="1">
        <v>24.229</v>
      </c>
      <c r="N109" s="1">
        <v>23.466</v>
      </c>
      <c r="O109" s="1">
        <v>38.745</v>
      </c>
      <c r="P109" s="1">
        <v>47.118</v>
      </c>
      <c r="Q109" s="1">
        <v>45.932</v>
      </c>
      <c r="R109" s="1">
        <v>65.873</v>
      </c>
      <c r="S109" s="1">
        <v>68.727</v>
      </c>
      <c r="T109" s="1">
        <v>63.779</v>
      </c>
      <c r="U109" s="1">
        <v>68.301</v>
      </c>
      <c r="V109" s="1">
        <v>84.001</v>
      </c>
      <c r="W109" s="1">
        <v>91.681</v>
      </c>
      <c r="X109" s="1">
        <v>62.793</v>
      </c>
      <c r="Y109" s="1">
        <v>82.826</v>
      </c>
      <c r="Z109" s="1">
        <v>76.699</v>
      </c>
      <c r="AA109" s="1">
        <v>208.583</v>
      </c>
      <c r="AB109" s="1">
        <v>112.249</v>
      </c>
      <c r="AC109" s="1">
        <v>47.16</v>
      </c>
      <c r="AD109" s="1">
        <v>208.544</v>
      </c>
      <c r="AE109" s="1">
        <v>172.303</v>
      </c>
      <c r="AF109" s="1">
        <v>226.789</v>
      </c>
      <c r="AG109" s="1">
        <v>124.318</v>
      </c>
      <c r="AH109" s="1">
        <v>626.133</v>
      </c>
      <c r="AI109" s="1">
        <v>32.449</v>
      </c>
      <c r="AJ109" s="1">
        <v>37.302</v>
      </c>
      <c r="AK109" s="1">
        <v>43.081</v>
      </c>
      <c r="AL109" s="1">
        <v>62.916</v>
      </c>
      <c r="AM109" s="1">
        <v>70.878</v>
      </c>
      <c r="AN109" s="1">
        <v>78.984</v>
      </c>
      <c r="AO109" s="1">
        <v>85.057</v>
      </c>
      <c r="AP109" s="1">
        <v>100.405</v>
      </c>
      <c r="AQ109" s="1">
        <v>107.686</v>
      </c>
      <c r="AR109" s="1">
        <v>124.997</v>
      </c>
      <c r="AS109" s="1">
        <v>131.903</v>
      </c>
      <c r="AT109" s="1">
        <v>143.547</v>
      </c>
      <c r="AU109" s="1">
        <v>371.93</v>
      </c>
      <c r="AV109" s="1">
        <v>64.366</v>
      </c>
    </row>
    <row r="110" spans="1:48">
      <c r="A110" s="1" t="s">
        <v>22</v>
      </c>
      <c r="C110" s="1">
        <f>C109+D109+E109+F109+G109+H109+I109+J109+K109+L109+M109+N109+O109+P109+Q109+R109+S109+T109+U109+V109+W109+X109+Y109+Z109+AA109+AB109+AC109+AD109+AE109+AF109+AG109+AH109+AI109+AJ109+AK109+AL109+AM109+AN109+AO109+AP109+AQ109+AR109+AS109+AT109+AU109+AV109</f>
        <v>4119.802</v>
      </c>
    </row>
    <row r="111" spans="1:48">
      <c r="A111" s="1" t="s">
        <v>23</v>
      </c>
      <c r="C111" s="1">
        <v>4870</v>
      </c>
    </row>
    <row r="112" spans="1:48">
      <c r="A112" s="1" t="s">
        <v>24</v>
      </c>
      <c r="C112" s="3">
        <f>C110/C111</f>
        <v>0.845955236139631</v>
      </c>
    </row>
    <row r="113" spans="1:42">
      <c r="A113" s="1" t="s">
        <v>25</v>
      </c>
      <c r="C113" s="3">
        <f>SUMIF(C102:AV102,"Young",C109:AV109)/C111</f>
        <v>0.717385831622177</v>
      </c>
    </row>
    <row r="114" spans="1:42">
      <c r="C114" s="1" t="s">
        <v>214</v>
      </c>
    </row>
    <row r="115" spans="1:42">
      <c r="A115" s="1" t="s">
        <v>2</v>
      </c>
      <c r="C115" s="1">
        <v>0</v>
      </c>
      <c r="D115" s="1">
        <v>1</v>
      </c>
      <c r="E115" s="1">
        <v>2</v>
      </c>
      <c r="F115" s="1">
        <v>3</v>
      </c>
      <c r="G115" s="1">
        <v>4</v>
      </c>
      <c r="H115" s="1">
        <v>5</v>
      </c>
      <c r="I115" s="1">
        <v>6</v>
      </c>
      <c r="J115" s="1">
        <v>7</v>
      </c>
      <c r="K115" s="1">
        <v>8</v>
      </c>
      <c r="L115" s="1">
        <v>9</v>
      </c>
      <c r="M115" s="1">
        <v>10</v>
      </c>
      <c r="N115" s="1">
        <v>11</v>
      </c>
      <c r="O115" s="1">
        <v>12</v>
      </c>
      <c r="P115" s="1">
        <v>13</v>
      </c>
      <c r="Q115" s="1">
        <v>14</v>
      </c>
      <c r="R115" s="1">
        <v>15</v>
      </c>
      <c r="S115" s="1">
        <v>16</v>
      </c>
      <c r="T115" s="1">
        <v>17</v>
      </c>
      <c r="U115" s="1">
        <v>18</v>
      </c>
      <c r="V115" s="1">
        <v>19</v>
      </c>
      <c r="W115" s="1">
        <v>20</v>
      </c>
      <c r="X115" s="1">
        <v>21</v>
      </c>
      <c r="Y115" s="1">
        <v>22</v>
      </c>
      <c r="Z115" s="1">
        <v>23</v>
      </c>
      <c r="AA115" s="1">
        <v>24</v>
      </c>
      <c r="AB115" s="1">
        <v>25</v>
      </c>
      <c r="AC115" s="1">
        <v>26</v>
      </c>
      <c r="AD115" s="1">
        <v>27</v>
      </c>
      <c r="AE115" s="1">
        <v>28</v>
      </c>
      <c r="AF115" s="1">
        <v>29</v>
      </c>
      <c r="AG115" s="1">
        <v>30</v>
      </c>
      <c r="AH115" s="1">
        <v>31</v>
      </c>
      <c r="AI115" s="1">
        <v>32</v>
      </c>
      <c r="AJ115" s="1">
        <v>33</v>
      </c>
      <c r="AK115" s="1">
        <v>34</v>
      </c>
      <c r="AL115" s="1">
        <v>35</v>
      </c>
      <c r="AM115" s="1">
        <v>36</v>
      </c>
      <c r="AN115" s="1">
        <v>37</v>
      </c>
      <c r="AO115" s="1">
        <v>38</v>
      </c>
      <c r="AP115" s="1">
        <v>39</v>
      </c>
    </row>
    <row r="116" spans="1:42">
      <c r="A116" s="1" t="s">
        <v>3</v>
      </c>
      <c r="C116" s="1" t="s">
        <v>4</v>
      </c>
      <c r="D116" s="1" t="s">
        <v>4</v>
      </c>
      <c r="E116" s="1" t="s">
        <v>61</v>
      </c>
      <c r="F116" s="1" t="s">
        <v>4</v>
      </c>
      <c r="G116" s="1" t="s">
        <v>4</v>
      </c>
      <c r="H116" s="1" t="s">
        <v>4</v>
      </c>
      <c r="I116" s="1" t="s">
        <v>4</v>
      </c>
      <c r="J116" s="1" t="s">
        <v>5</v>
      </c>
      <c r="K116" s="1" t="s">
        <v>4</v>
      </c>
      <c r="L116" s="1" t="s">
        <v>4</v>
      </c>
      <c r="M116" s="1" t="s">
        <v>4</v>
      </c>
      <c r="N116" s="1" t="s">
        <v>4</v>
      </c>
      <c r="O116" s="1" t="s">
        <v>4</v>
      </c>
      <c r="P116" s="1" t="s">
        <v>4</v>
      </c>
      <c r="Q116" s="1" t="s">
        <v>4</v>
      </c>
      <c r="R116" s="1" t="s">
        <v>4</v>
      </c>
      <c r="S116" s="1" t="s">
        <v>4</v>
      </c>
      <c r="T116" s="1" t="s">
        <v>4</v>
      </c>
      <c r="U116" s="1" t="s">
        <v>4</v>
      </c>
      <c r="V116" s="1" t="s">
        <v>4</v>
      </c>
      <c r="W116" s="1" t="s">
        <v>4</v>
      </c>
      <c r="X116" s="1" t="s">
        <v>4</v>
      </c>
      <c r="Y116" s="1" t="s">
        <v>4</v>
      </c>
      <c r="Z116" s="1" t="s">
        <v>4</v>
      </c>
      <c r="AA116" s="1" t="s">
        <v>4</v>
      </c>
      <c r="AB116" s="1" t="s">
        <v>4</v>
      </c>
      <c r="AC116" s="1" t="s">
        <v>4</v>
      </c>
      <c r="AD116" s="1" t="s">
        <v>4</v>
      </c>
      <c r="AE116" s="1" t="s">
        <v>4</v>
      </c>
      <c r="AF116" s="1" t="s">
        <v>4</v>
      </c>
      <c r="AG116" s="1" t="s">
        <v>4</v>
      </c>
      <c r="AH116" s="1" t="s">
        <v>4</v>
      </c>
      <c r="AI116" s="1" t="s">
        <v>4</v>
      </c>
      <c r="AJ116" s="1" t="s">
        <v>4</v>
      </c>
      <c r="AK116" s="1" t="s">
        <v>4</v>
      </c>
      <c r="AL116" s="1" t="s">
        <v>4</v>
      </c>
      <c r="AM116" s="1" t="s">
        <v>4</v>
      </c>
      <c r="AN116" s="1" t="s">
        <v>4</v>
      </c>
      <c r="AO116" s="1" t="s">
        <v>5</v>
      </c>
      <c r="AP116" s="1" t="s">
        <v>5</v>
      </c>
    </row>
    <row r="117" spans="1:42">
      <c r="A117" s="1" t="s">
        <v>6</v>
      </c>
      <c r="B117" s="1" t="s">
        <v>7</v>
      </c>
      <c r="C117" s="1">
        <v>0.04</v>
      </c>
      <c r="D117" s="1">
        <v>0.07</v>
      </c>
      <c r="F117" s="1">
        <v>0.03</v>
      </c>
      <c r="G117" s="1">
        <v>0.02</v>
      </c>
      <c r="H117" s="1">
        <v>0.02</v>
      </c>
      <c r="I117" s="1">
        <v>0.04</v>
      </c>
      <c r="K117" s="1">
        <v>0.06</v>
      </c>
      <c r="L117" s="1">
        <v>0.04</v>
      </c>
      <c r="M117" s="1">
        <v>0.04</v>
      </c>
      <c r="N117" s="1">
        <v>0.04</v>
      </c>
      <c r="O117" s="1">
        <v>0.05</v>
      </c>
      <c r="P117" s="1">
        <v>0.05</v>
      </c>
      <c r="Q117" s="1">
        <v>0.03</v>
      </c>
      <c r="R117" s="1">
        <v>0.04</v>
      </c>
      <c r="S117" s="1">
        <v>0.04</v>
      </c>
      <c r="T117" s="1">
        <v>0.05</v>
      </c>
      <c r="U117" s="1">
        <v>0.04</v>
      </c>
      <c r="V117" s="1">
        <v>0.05</v>
      </c>
      <c r="W117" s="1">
        <v>0.06</v>
      </c>
      <c r="X117" s="1">
        <v>0.05</v>
      </c>
      <c r="Y117" s="1">
        <v>0.03</v>
      </c>
      <c r="Z117" s="1">
        <v>0.04</v>
      </c>
      <c r="AA117" s="1">
        <v>0.03</v>
      </c>
      <c r="AB117" s="1">
        <v>0.05</v>
      </c>
      <c r="AC117" s="1">
        <v>0.04</v>
      </c>
      <c r="AD117" s="1">
        <v>0.04</v>
      </c>
      <c r="AE117" s="1">
        <v>0.04</v>
      </c>
      <c r="AF117" s="1">
        <v>0.06</v>
      </c>
      <c r="AG117" s="1">
        <v>0.04</v>
      </c>
      <c r="AH117" s="1">
        <v>0.05</v>
      </c>
      <c r="AI117" s="1">
        <v>0.03</v>
      </c>
      <c r="AJ117" s="1">
        <v>0.06</v>
      </c>
      <c r="AK117" s="1">
        <v>0.05</v>
      </c>
      <c r="AL117" s="1">
        <v>0.04</v>
      </c>
      <c r="AM117" s="1">
        <v>0.04</v>
      </c>
      <c r="AN117" s="1">
        <v>0.04</v>
      </c>
    </row>
    <row r="118" spans="1:42">
      <c r="B118" s="1" t="s">
        <v>8</v>
      </c>
      <c r="C118" s="1">
        <v>0.11</v>
      </c>
      <c r="D118" s="1">
        <v>0.08</v>
      </c>
      <c r="F118" s="1">
        <v>0.03</v>
      </c>
      <c r="G118" s="1">
        <v>0.02</v>
      </c>
      <c r="H118" s="1">
        <v>0.02</v>
      </c>
      <c r="I118" s="1">
        <v>0.04</v>
      </c>
      <c r="K118" s="1">
        <v>0.03</v>
      </c>
      <c r="L118" s="1">
        <v>0.03</v>
      </c>
      <c r="M118" s="1">
        <v>0.03</v>
      </c>
      <c r="N118" s="1">
        <v>0.03</v>
      </c>
      <c r="O118" s="1">
        <v>0.04</v>
      </c>
      <c r="P118" s="1">
        <v>0.07</v>
      </c>
      <c r="Q118" s="1">
        <v>0.04</v>
      </c>
      <c r="R118" s="1">
        <v>0.04</v>
      </c>
      <c r="S118" s="1">
        <v>0.04</v>
      </c>
      <c r="T118" s="1">
        <v>0.03</v>
      </c>
      <c r="U118" s="1">
        <v>0.04</v>
      </c>
      <c r="V118" s="1">
        <v>0.05</v>
      </c>
      <c r="W118" s="1">
        <v>0.05</v>
      </c>
      <c r="X118" s="1">
        <v>0.03</v>
      </c>
      <c r="Y118" s="1">
        <v>0.03</v>
      </c>
      <c r="Z118" s="1">
        <v>0.04</v>
      </c>
      <c r="AA118" s="1">
        <v>0.68</v>
      </c>
      <c r="AB118" s="1">
        <v>0.05</v>
      </c>
      <c r="AC118" s="1">
        <v>0.03</v>
      </c>
      <c r="AD118" s="1">
        <v>0.04</v>
      </c>
      <c r="AE118" s="1">
        <v>0.03</v>
      </c>
      <c r="AF118" s="1">
        <v>0.05</v>
      </c>
      <c r="AG118" s="1">
        <v>0.03</v>
      </c>
      <c r="AH118" s="1">
        <v>0.04</v>
      </c>
      <c r="AI118" s="1">
        <v>0.03</v>
      </c>
      <c r="AJ118" s="1">
        <v>0.05</v>
      </c>
      <c r="AK118" s="1">
        <v>0.04</v>
      </c>
      <c r="AL118" s="1">
        <v>0.03</v>
      </c>
      <c r="AM118" s="1">
        <v>0.04</v>
      </c>
      <c r="AN118" s="1">
        <v>0.04</v>
      </c>
    </row>
    <row r="119" spans="1:42">
      <c r="B119" s="1" t="s">
        <v>9</v>
      </c>
      <c r="C119" s="1">
        <v>6.99</v>
      </c>
      <c r="D119" s="1">
        <v>5.66</v>
      </c>
      <c r="F119" s="1">
        <v>4.64</v>
      </c>
      <c r="G119" s="1">
        <v>5.01</v>
      </c>
      <c r="H119" s="1">
        <v>2.68</v>
      </c>
      <c r="I119" s="1">
        <v>6.34</v>
      </c>
      <c r="K119" s="1">
        <v>5.92</v>
      </c>
      <c r="L119" s="1">
        <v>3.64</v>
      </c>
      <c r="M119" s="1">
        <v>4.74</v>
      </c>
      <c r="N119" s="1">
        <v>6.22</v>
      </c>
      <c r="O119" s="1">
        <v>8.49</v>
      </c>
      <c r="P119" s="1">
        <v>10.96</v>
      </c>
      <c r="Q119" s="1">
        <v>13.85</v>
      </c>
      <c r="R119" s="1">
        <v>5.31</v>
      </c>
      <c r="S119" s="1">
        <v>1.05</v>
      </c>
      <c r="T119" s="1">
        <v>2.55</v>
      </c>
      <c r="U119" s="1">
        <v>2.64</v>
      </c>
      <c r="V119" s="1">
        <v>2.57</v>
      </c>
      <c r="W119" s="1">
        <v>2.53</v>
      </c>
      <c r="X119" s="1">
        <v>1.77</v>
      </c>
      <c r="Y119" s="1">
        <v>1.93</v>
      </c>
      <c r="Z119" s="1">
        <v>2.21</v>
      </c>
      <c r="AA119" s="1">
        <v>1.77</v>
      </c>
      <c r="AB119" s="1">
        <v>2.15</v>
      </c>
      <c r="AC119" s="1">
        <v>2.19</v>
      </c>
      <c r="AD119" s="1">
        <v>2.59</v>
      </c>
      <c r="AE119" s="1">
        <v>3.1</v>
      </c>
      <c r="AF119" s="1">
        <v>3.08</v>
      </c>
      <c r="AG119" s="1">
        <v>3.34</v>
      </c>
      <c r="AH119" s="1">
        <v>3.51</v>
      </c>
      <c r="AI119" s="1">
        <v>3.26</v>
      </c>
      <c r="AJ119" s="1">
        <v>3.48</v>
      </c>
      <c r="AK119" s="1">
        <v>3.44</v>
      </c>
      <c r="AL119" s="1">
        <v>3.27</v>
      </c>
      <c r="AM119" s="1">
        <v>3.64</v>
      </c>
      <c r="AN119" s="1">
        <v>2.86</v>
      </c>
    </row>
    <row r="120" spans="1:42">
      <c r="B120" s="1" t="s">
        <v>10</v>
      </c>
      <c r="C120" s="1">
        <v>0.33</v>
      </c>
      <c r="D120" s="1">
        <v>0.35</v>
      </c>
      <c r="F120" s="1">
        <v>0.27</v>
      </c>
      <c r="G120" s="1">
        <v>0.42</v>
      </c>
      <c r="H120" s="1">
        <v>0.27</v>
      </c>
      <c r="I120" s="1">
        <v>0.89</v>
      </c>
      <c r="K120" s="1">
        <v>0.33</v>
      </c>
      <c r="L120" s="1">
        <v>0.31</v>
      </c>
      <c r="M120" s="1">
        <v>0.26</v>
      </c>
      <c r="N120" s="1">
        <v>0.71</v>
      </c>
      <c r="O120" s="1">
        <v>0.5</v>
      </c>
      <c r="P120" s="1">
        <v>0.37</v>
      </c>
      <c r="Q120" s="1">
        <v>0.43</v>
      </c>
      <c r="R120" s="1">
        <v>0.95</v>
      </c>
      <c r="S120" s="1">
        <v>0.29</v>
      </c>
      <c r="T120" s="1">
        <v>0.36</v>
      </c>
      <c r="U120" s="1">
        <v>0.34</v>
      </c>
      <c r="V120" s="1">
        <v>0.73</v>
      </c>
      <c r="W120" s="1">
        <v>0.31</v>
      </c>
      <c r="X120" s="1">
        <v>0.28</v>
      </c>
      <c r="Y120" s="1">
        <v>0.34</v>
      </c>
      <c r="Z120" s="1">
        <v>0.92</v>
      </c>
      <c r="AA120" s="1">
        <v>0.44</v>
      </c>
      <c r="AB120" s="1">
        <v>0.43</v>
      </c>
      <c r="AC120" s="1">
        <v>0.37</v>
      </c>
      <c r="AD120" s="1">
        <v>0.68</v>
      </c>
      <c r="AE120" s="1">
        <v>0.37</v>
      </c>
      <c r="AF120" s="1">
        <v>0.37</v>
      </c>
      <c r="AG120" s="1">
        <v>0.38</v>
      </c>
      <c r="AH120" s="1">
        <v>1.06</v>
      </c>
      <c r="AI120" s="1">
        <v>0.39</v>
      </c>
      <c r="AJ120" s="1">
        <v>0.4</v>
      </c>
      <c r="AK120" s="1">
        <v>0.39</v>
      </c>
      <c r="AL120" s="1">
        <v>0.38</v>
      </c>
      <c r="AM120" s="1">
        <v>0.35</v>
      </c>
      <c r="AN120" s="1">
        <v>1.09</v>
      </c>
    </row>
    <row r="121" spans="1:42">
      <c r="B121" s="1" t="s">
        <v>11</v>
      </c>
      <c r="C121" s="1">
        <v>0.07</v>
      </c>
      <c r="D121" s="1">
        <v>0.12</v>
      </c>
      <c r="F121" s="1">
        <v>0.05</v>
      </c>
      <c r="G121" s="1">
        <v>0.07</v>
      </c>
      <c r="H121" s="1">
        <v>0.06</v>
      </c>
      <c r="I121" s="1">
        <v>0.1</v>
      </c>
      <c r="K121" s="1">
        <v>0.1</v>
      </c>
      <c r="L121" s="1">
        <v>0.09</v>
      </c>
      <c r="M121" s="1">
        <v>0.08</v>
      </c>
      <c r="N121" s="1">
        <v>0.1</v>
      </c>
      <c r="O121" s="1">
        <v>0.09</v>
      </c>
      <c r="P121" s="1">
        <v>0.11</v>
      </c>
      <c r="Q121" s="1">
        <v>0.1</v>
      </c>
      <c r="R121" s="1">
        <v>0.12</v>
      </c>
      <c r="S121" s="1">
        <v>0.09</v>
      </c>
      <c r="T121" s="1">
        <v>0.11</v>
      </c>
      <c r="U121" s="1">
        <v>0.1</v>
      </c>
      <c r="V121" s="1">
        <v>0.11</v>
      </c>
      <c r="W121" s="1">
        <v>0.12</v>
      </c>
      <c r="X121" s="1">
        <v>0.11</v>
      </c>
      <c r="Y121" s="1">
        <v>0.09</v>
      </c>
      <c r="Z121" s="1">
        <v>0.1</v>
      </c>
      <c r="AA121" s="1">
        <v>0.09</v>
      </c>
      <c r="AB121" s="1">
        <v>0.11</v>
      </c>
      <c r="AC121" s="1">
        <v>0.1</v>
      </c>
      <c r="AD121" s="1">
        <v>0.1</v>
      </c>
      <c r="AE121" s="1">
        <v>0.11</v>
      </c>
      <c r="AF121" s="1">
        <v>0.12</v>
      </c>
      <c r="AG121" s="1">
        <v>0.09</v>
      </c>
      <c r="AH121" s="1">
        <v>0.12</v>
      </c>
      <c r="AI121" s="1">
        <v>0.09</v>
      </c>
      <c r="AJ121" s="1">
        <v>0.11</v>
      </c>
      <c r="AK121" s="1">
        <v>0.12</v>
      </c>
      <c r="AL121" s="1">
        <v>0.09</v>
      </c>
      <c r="AM121" s="1">
        <v>0.09</v>
      </c>
      <c r="AN121" s="1">
        <v>0.11</v>
      </c>
    </row>
    <row r="122" spans="1:42">
      <c r="A122" s="1" t="s">
        <v>12</v>
      </c>
      <c r="C122" s="1" t="s">
        <v>215</v>
      </c>
      <c r="D122" s="1" t="s">
        <v>216</v>
      </c>
      <c r="E122" s="1" t="s">
        <v>217</v>
      </c>
      <c r="F122" s="1" t="s">
        <v>218</v>
      </c>
      <c r="G122" s="1" t="s">
        <v>219</v>
      </c>
      <c r="H122" s="1" t="s">
        <v>220</v>
      </c>
      <c r="I122" s="1" t="s">
        <v>221</v>
      </c>
      <c r="J122" s="1" t="s">
        <v>222</v>
      </c>
      <c r="K122" s="1" t="s">
        <v>223</v>
      </c>
      <c r="L122" s="1" t="s">
        <v>224</v>
      </c>
      <c r="M122" s="1" t="s">
        <v>225</v>
      </c>
      <c r="N122" s="1" t="s">
        <v>226</v>
      </c>
      <c r="O122" s="1" t="s">
        <v>227</v>
      </c>
      <c r="P122" s="1" t="s">
        <v>228</v>
      </c>
      <c r="Q122" s="1" t="s">
        <v>229</v>
      </c>
      <c r="R122" s="1" t="s">
        <v>230</v>
      </c>
      <c r="S122" s="1" t="s">
        <v>231</v>
      </c>
      <c r="T122" s="1" t="s">
        <v>232</v>
      </c>
      <c r="U122" s="1" t="s">
        <v>232</v>
      </c>
      <c r="V122" s="1" t="s">
        <v>232</v>
      </c>
      <c r="W122" s="1" t="s">
        <v>233</v>
      </c>
      <c r="X122" s="1" t="s">
        <v>234</v>
      </c>
      <c r="Y122" s="1" t="s">
        <v>235</v>
      </c>
      <c r="Z122" s="1" t="s">
        <v>236</v>
      </c>
      <c r="AA122" s="1" t="s">
        <v>237</v>
      </c>
      <c r="AB122" s="1" t="s">
        <v>238</v>
      </c>
      <c r="AC122" s="1" t="s">
        <v>239</v>
      </c>
      <c r="AD122" s="1" t="s">
        <v>240</v>
      </c>
      <c r="AE122" s="1" t="s">
        <v>241</v>
      </c>
      <c r="AF122" s="1" t="s">
        <v>242</v>
      </c>
      <c r="AG122" s="1" t="s">
        <v>243</v>
      </c>
      <c r="AH122" s="1" t="s">
        <v>244</v>
      </c>
      <c r="AI122" s="1" t="s">
        <v>245</v>
      </c>
      <c r="AJ122" s="1" t="s">
        <v>246</v>
      </c>
      <c r="AK122" s="1" t="s">
        <v>247</v>
      </c>
      <c r="AL122" s="1" t="s">
        <v>248</v>
      </c>
      <c r="AM122" s="1" t="s">
        <v>249</v>
      </c>
      <c r="AN122" s="1" t="s">
        <v>250</v>
      </c>
      <c r="AO122" s="1" t="s">
        <v>251</v>
      </c>
      <c r="AP122" s="1" t="s">
        <v>252</v>
      </c>
    </row>
    <row r="123" spans="1:42">
      <c r="A123" s="1" t="s">
        <v>21</v>
      </c>
      <c r="C123" s="1">
        <v>7.639</v>
      </c>
      <c r="D123" s="1">
        <v>6.356</v>
      </c>
      <c r="E123" s="1">
        <v>7.779</v>
      </c>
      <c r="F123" s="1">
        <v>5.085</v>
      </c>
      <c r="G123" s="1">
        <v>5.608</v>
      </c>
      <c r="H123" s="1">
        <v>3.114</v>
      </c>
      <c r="I123" s="1">
        <v>7.518</v>
      </c>
      <c r="J123" s="1">
        <v>25.403</v>
      </c>
      <c r="K123" s="1">
        <v>6.503</v>
      </c>
      <c r="L123" s="1">
        <v>4.177</v>
      </c>
      <c r="M123" s="1">
        <v>5.193</v>
      </c>
      <c r="N123" s="1">
        <v>7.15</v>
      </c>
      <c r="O123" s="1">
        <v>9.291</v>
      </c>
      <c r="P123" s="1">
        <v>11.628</v>
      </c>
      <c r="Q123" s="1">
        <v>14.533</v>
      </c>
      <c r="R123" s="1">
        <v>6.516</v>
      </c>
      <c r="S123" s="1">
        <v>1.532</v>
      </c>
      <c r="T123" s="1">
        <v>3.167</v>
      </c>
      <c r="U123" s="1">
        <v>3.219</v>
      </c>
      <c r="V123" s="1">
        <v>3.539</v>
      </c>
      <c r="W123" s="1">
        <v>3.125</v>
      </c>
      <c r="X123" s="1">
        <v>2.263</v>
      </c>
      <c r="Y123" s="1">
        <v>2.454</v>
      </c>
      <c r="Z123" s="1">
        <v>3.386</v>
      </c>
      <c r="AA123" s="1">
        <v>3.089</v>
      </c>
      <c r="AB123" s="1">
        <v>2.864</v>
      </c>
      <c r="AC123" s="1">
        <v>2.82</v>
      </c>
      <c r="AD123" s="1">
        <v>4.999</v>
      </c>
      <c r="AE123" s="1">
        <v>3.704</v>
      </c>
      <c r="AF123" s="1">
        <v>3.738</v>
      </c>
      <c r="AG123" s="1">
        <v>3.943</v>
      </c>
      <c r="AH123" s="1">
        <v>4.809</v>
      </c>
      <c r="AI123" s="1">
        <v>3.854</v>
      </c>
      <c r="AJ123" s="1">
        <v>4.195</v>
      </c>
      <c r="AK123" s="1">
        <v>4.092</v>
      </c>
      <c r="AL123" s="1">
        <v>3.844</v>
      </c>
      <c r="AM123" s="1">
        <v>4.213</v>
      </c>
      <c r="AN123" s="1">
        <v>4.167</v>
      </c>
      <c r="AO123" s="1">
        <v>48.498</v>
      </c>
      <c r="AP123" s="1">
        <v>30.489</v>
      </c>
    </row>
    <row r="124" spans="1:42">
      <c r="A124" s="1" t="s">
        <v>22</v>
      </c>
      <c r="C124" s="1">
        <f>C123+D123+E123+F123+G123+H123+I123+J123+K123+L123+M123+N123+O123+P123+Q123+R123+S123+T123+U123+V123+W123+X123+Y123+Z123+AA123+AB123+AC123+AD123+AE123+AF123+AG123+AH123+AI123+AJ123+AK123+AL123+AM123+AN123+AO123+AP123</f>
        <v>289.496</v>
      </c>
    </row>
    <row r="125" spans="1:42">
      <c r="A125" s="1" t="s">
        <v>23</v>
      </c>
      <c r="C125" s="1">
        <v>3812</v>
      </c>
    </row>
    <row r="126" spans="1:42">
      <c r="A126" s="1" t="s">
        <v>24</v>
      </c>
      <c r="C126" s="3">
        <f>C124/C125</f>
        <v>0.0759433368310598</v>
      </c>
    </row>
    <row r="127" spans="1:42">
      <c r="A127" s="1" t="s">
        <v>25</v>
      </c>
      <c r="C127" s="3">
        <f>SUMIF(C116:AP116,"Young",C123:AP123)/C125</f>
        <v>0.0465181007345226</v>
      </c>
    </row>
    <row r="128" spans="1:42">
      <c r="C128" s="1" t="s">
        <v>253</v>
      </c>
    </row>
    <row r="129" spans="1:29">
      <c r="A129" s="1" t="s">
        <v>2</v>
      </c>
      <c r="C129" s="1">
        <v>0</v>
      </c>
      <c r="D129" s="1">
        <v>1</v>
      </c>
      <c r="E129" s="1">
        <v>2</v>
      </c>
      <c r="F129" s="1">
        <v>3</v>
      </c>
      <c r="G129" s="1">
        <v>4</v>
      </c>
      <c r="H129" s="1">
        <v>5</v>
      </c>
      <c r="I129" s="1">
        <v>6</v>
      </c>
      <c r="J129" s="1">
        <v>7</v>
      </c>
    </row>
    <row r="130" spans="1:29">
      <c r="A130" s="1" t="s">
        <v>3</v>
      </c>
      <c r="C130" s="1" t="s">
        <v>5</v>
      </c>
      <c r="D130" s="1" t="s">
        <v>4</v>
      </c>
      <c r="E130" s="1" t="s">
        <v>4</v>
      </c>
      <c r="F130" s="1" t="s">
        <v>4</v>
      </c>
      <c r="G130" s="1" t="s">
        <v>4</v>
      </c>
      <c r="H130" s="1" t="s">
        <v>4</v>
      </c>
      <c r="I130" s="1" t="s">
        <v>4</v>
      </c>
      <c r="J130" s="1" t="s">
        <v>5</v>
      </c>
    </row>
    <row r="131" spans="1:29">
      <c r="A131" s="1" t="s">
        <v>6</v>
      </c>
      <c r="B131" s="1" t="s">
        <v>7</v>
      </c>
      <c r="D131" s="1">
        <v>0.05</v>
      </c>
      <c r="E131" s="1">
        <v>0.06</v>
      </c>
      <c r="F131" s="1">
        <v>0.04</v>
      </c>
      <c r="G131" s="1">
        <v>0.03</v>
      </c>
      <c r="H131" s="1">
        <v>0.02</v>
      </c>
      <c r="I131" s="1">
        <v>0.04</v>
      </c>
    </row>
    <row r="132" spans="1:29">
      <c r="B132" s="1" t="s">
        <v>8</v>
      </c>
      <c r="D132" s="1">
        <v>0.22</v>
      </c>
      <c r="E132" s="1">
        <v>0.03</v>
      </c>
      <c r="F132" s="1">
        <v>0.03</v>
      </c>
      <c r="G132" s="1">
        <v>0.03</v>
      </c>
      <c r="H132" s="1">
        <v>0.02</v>
      </c>
      <c r="I132" s="1">
        <v>0.04</v>
      </c>
    </row>
    <row r="133" spans="1:29">
      <c r="B133" s="1" t="s">
        <v>9</v>
      </c>
      <c r="D133" s="1">
        <v>1.2</v>
      </c>
      <c r="E133" s="1">
        <v>1.73</v>
      </c>
      <c r="F133" s="1">
        <v>1.27</v>
      </c>
      <c r="G133" s="1">
        <v>1.67</v>
      </c>
      <c r="H133" s="1">
        <v>2.73</v>
      </c>
      <c r="I133" s="1">
        <v>3.31</v>
      </c>
    </row>
    <row r="134" spans="1:29">
      <c r="B134" s="1" t="s">
        <v>10</v>
      </c>
      <c r="D134" s="1">
        <v>0.21</v>
      </c>
      <c r="E134" s="1">
        <v>0.14</v>
      </c>
      <c r="F134" s="1">
        <v>0.16</v>
      </c>
      <c r="G134" s="1">
        <v>0.76</v>
      </c>
      <c r="H134" s="1">
        <v>0.23</v>
      </c>
      <c r="I134" s="1">
        <v>0.24</v>
      </c>
    </row>
    <row r="135" spans="1:29">
      <c r="B135" s="1" t="s">
        <v>11</v>
      </c>
      <c r="D135" s="1">
        <v>0.08</v>
      </c>
      <c r="E135" s="1">
        <v>0.06</v>
      </c>
      <c r="F135" s="1">
        <v>0.06</v>
      </c>
      <c r="G135" s="1">
        <v>0.07</v>
      </c>
      <c r="H135" s="1">
        <v>0.06</v>
      </c>
      <c r="I135" s="1">
        <v>0.07</v>
      </c>
    </row>
    <row r="136" spans="1:29">
      <c r="A136" s="1" t="s">
        <v>12</v>
      </c>
      <c r="C136" s="1" t="s">
        <v>254</v>
      </c>
      <c r="D136" s="1" t="s">
        <v>17</v>
      </c>
      <c r="E136" s="1" t="s">
        <v>44</v>
      </c>
      <c r="F136" s="1" t="s">
        <v>18</v>
      </c>
      <c r="G136" s="1" t="s">
        <v>255</v>
      </c>
      <c r="H136" s="1" t="s">
        <v>256</v>
      </c>
      <c r="I136" s="1" t="s">
        <v>257</v>
      </c>
      <c r="J136" s="1" t="s">
        <v>258</v>
      </c>
    </row>
    <row r="137" spans="1:29">
      <c r="A137" s="1" t="s">
        <v>21</v>
      </c>
      <c r="C137" s="1">
        <v>9.978</v>
      </c>
      <c r="D137" s="1">
        <v>1.799</v>
      </c>
      <c r="E137" s="1">
        <v>2.049</v>
      </c>
      <c r="F137" s="1">
        <v>1.61</v>
      </c>
      <c r="G137" s="1">
        <v>2.613</v>
      </c>
      <c r="H137" s="1">
        <v>3.133</v>
      </c>
      <c r="I137" s="1">
        <v>3.777</v>
      </c>
      <c r="J137" s="1">
        <v>15.024</v>
      </c>
    </row>
    <row r="138" spans="1:29">
      <c r="A138" s="1" t="s">
        <v>22</v>
      </c>
      <c r="C138" s="1">
        <f>C137+D137+E137+F137+G137+H137+I137+J137</f>
        <v>39.983</v>
      </c>
    </row>
    <row r="139" spans="1:29">
      <c r="A139" s="1" t="s">
        <v>23</v>
      </c>
      <c r="C139" s="1">
        <v>7250</v>
      </c>
    </row>
    <row r="140" spans="1:29">
      <c r="A140" s="1" t="s">
        <v>24</v>
      </c>
      <c r="C140" s="3">
        <f>C138/C139</f>
        <v>0.00551489655172414</v>
      </c>
    </row>
    <row r="141" spans="1:29">
      <c r="A141" s="1" t="s">
        <v>25</v>
      </c>
      <c r="C141" s="3">
        <f>SUMIF(C130:J130,"Young",C137:J137)/C139</f>
        <v>0.00206634482758621</v>
      </c>
    </row>
    <row r="142" spans="1:29">
      <c r="C142" s="1" t="s">
        <v>259</v>
      </c>
    </row>
    <row r="143" spans="1:29">
      <c r="A143" s="1" t="s">
        <v>2</v>
      </c>
      <c r="C143" s="1">
        <v>0</v>
      </c>
      <c r="D143" s="1">
        <v>1</v>
      </c>
      <c r="E143" s="1">
        <v>2</v>
      </c>
      <c r="F143" s="1">
        <v>3</v>
      </c>
      <c r="G143" s="1">
        <v>4</v>
      </c>
      <c r="H143" s="1">
        <v>5</v>
      </c>
      <c r="I143" s="1">
        <v>6</v>
      </c>
      <c r="J143" s="1">
        <v>7</v>
      </c>
      <c r="K143" s="1">
        <v>8</v>
      </c>
      <c r="L143" s="1">
        <v>9</v>
      </c>
      <c r="M143" s="1">
        <v>10</v>
      </c>
      <c r="N143" s="1">
        <v>11</v>
      </c>
      <c r="O143" s="1">
        <v>12</v>
      </c>
      <c r="P143" s="1">
        <v>13</v>
      </c>
      <c r="Q143" s="1">
        <v>14</v>
      </c>
      <c r="R143" s="1">
        <v>15</v>
      </c>
      <c r="S143" s="1">
        <v>16</v>
      </c>
      <c r="T143" s="1">
        <v>17</v>
      </c>
      <c r="U143" s="1">
        <v>18</v>
      </c>
      <c r="V143" s="1">
        <v>19</v>
      </c>
      <c r="W143" s="1">
        <v>20</v>
      </c>
      <c r="X143" s="1">
        <v>21</v>
      </c>
      <c r="Y143" s="1">
        <v>22</v>
      </c>
      <c r="Z143" s="1">
        <v>23</v>
      </c>
      <c r="AA143" s="1">
        <v>24</v>
      </c>
      <c r="AB143" s="1">
        <v>25</v>
      </c>
      <c r="AC143" s="1">
        <v>26</v>
      </c>
    </row>
    <row r="144" spans="1:29">
      <c r="A144" s="1" t="s">
        <v>3</v>
      </c>
      <c r="C144" s="1" t="s">
        <v>4</v>
      </c>
      <c r="D144" s="1" t="s">
        <v>4</v>
      </c>
      <c r="E144" s="1" t="s">
        <v>4</v>
      </c>
      <c r="F144" s="1" t="s">
        <v>4</v>
      </c>
      <c r="G144" s="1" t="s">
        <v>4</v>
      </c>
      <c r="H144" s="1" t="s">
        <v>4</v>
      </c>
      <c r="I144" s="1" t="s">
        <v>4</v>
      </c>
      <c r="J144" s="1" t="s">
        <v>4</v>
      </c>
      <c r="K144" s="1" t="s">
        <v>61</v>
      </c>
      <c r="L144" s="1" t="s">
        <v>5</v>
      </c>
      <c r="M144" s="1" t="s">
        <v>4</v>
      </c>
      <c r="N144" s="1" t="s">
        <v>4</v>
      </c>
      <c r="O144" s="1" t="s">
        <v>4</v>
      </c>
      <c r="P144" s="1" t="s">
        <v>4</v>
      </c>
      <c r="Q144" s="1" t="s">
        <v>4</v>
      </c>
      <c r="R144" s="1" t="s">
        <v>4</v>
      </c>
      <c r="S144" s="1" t="s">
        <v>4</v>
      </c>
      <c r="T144" s="1" t="s">
        <v>4</v>
      </c>
      <c r="U144" s="1" t="s">
        <v>4</v>
      </c>
      <c r="V144" s="1" t="s">
        <v>4</v>
      </c>
      <c r="W144" s="1" t="s">
        <v>4</v>
      </c>
      <c r="X144" s="1" t="s">
        <v>4</v>
      </c>
      <c r="Y144" s="1" t="s">
        <v>4</v>
      </c>
      <c r="Z144" s="1" t="s">
        <v>4</v>
      </c>
      <c r="AA144" s="1" t="s">
        <v>4</v>
      </c>
      <c r="AB144" s="1" t="s">
        <v>4</v>
      </c>
      <c r="AC144" s="1" t="s">
        <v>4</v>
      </c>
    </row>
    <row r="145" spans="1:29">
      <c r="A145" s="1" t="s">
        <v>6</v>
      </c>
      <c r="B145" s="1" t="s">
        <v>7</v>
      </c>
      <c r="C145" s="1">
        <v>0.05</v>
      </c>
      <c r="D145" s="1">
        <v>0.02</v>
      </c>
      <c r="E145" s="1">
        <v>0.02</v>
      </c>
      <c r="F145" s="1">
        <v>0.03</v>
      </c>
      <c r="G145" s="1">
        <v>0.04</v>
      </c>
      <c r="H145" s="1">
        <v>0.07</v>
      </c>
      <c r="I145" s="1">
        <v>0.09</v>
      </c>
      <c r="J145" s="1">
        <v>0.06</v>
      </c>
      <c r="M145" s="1">
        <v>0.04</v>
      </c>
      <c r="N145" s="1">
        <v>0.05</v>
      </c>
      <c r="O145" s="1">
        <v>0.04</v>
      </c>
      <c r="P145" s="1">
        <v>0.04</v>
      </c>
      <c r="Q145" s="1">
        <v>0.08</v>
      </c>
      <c r="R145" s="1">
        <v>0.04</v>
      </c>
      <c r="S145" s="1">
        <v>0.04</v>
      </c>
      <c r="T145" s="1">
        <v>0.05</v>
      </c>
      <c r="U145" s="1">
        <v>0.04</v>
      </c>
      <c r="V145" s="1">
        <v>0.05</v>
      </c>
      <c r="W145" s="1">
        <v>0.04</v>
      </c>
      <c r="X145" s="1">
        <v>0.04</v>
      </c>
      <c r="Y145" s="1">
        <v>0.04</v>
      </c>
      <c r="Z145" s="1">
        <v>0.06</v>
      </c>
      <c r="AA145" s="1">
        <v>0.15</v>
      </c>
      <c r="AB145" s="1">
        <v>0.04</v>
      </c>
      <c r="AC145" s="1">
        <v>0.07</v>
      </c>
    </row>
    <row r="146" spans="1:29">
      <c r="B146" s="1" t="s">
        <v>8</v>
      </c>
      <c r="C146" s="1">
        <v>0.19</v>
      </c>
      <c r="D146" s="1">
        <v>0.02</v>
      </c>
      <c r="E146" s="1">
        <v>0.02</v>
      </c>
      <c r="F146" s="1">
        <v>0.04</v>
      </c>
      <c r="G146" s="1">
        <v>0.03</v>
      </c>
      <c r="H146" s="1">
        <v>0.03</v>
      </c>
      <c r="I146" s="1">
        <v>0.14</v>
      </c>
      <c r="J146" s="1">
        <v>0.06</v>
      </c>
      <c r="M146" s="1">
        <v>0.03</v>
      </c>
      <c r="N146" s="1">
        <v>0.03</v>
      </c>
      <c r="O146" s="1">
        <v>0.05</v>
      </c>
      <c r="P146" s="1">
        <v>0.04</v>
      </c>
      <c r="Q146" s="1">
        <v>0.12</v>
      </c>
      <c r="R146" s="1">
        <v>0.04</v>
      </c>
      <c r="S146" s="1">
        <v>0.06</v>
      </c>
      <c r="T146" s="1">
        <v>0.07</v>
      </c>
      <c r="U146" s="1">
        <v>0.04</v>
      </c>
      <c r="V146" s="1">
        <v>0.05</v>
      </c>
      <c r="W146" s="1">
        <v>0.04</v>
      </c>
      <c r="X146" s="1">
        <v>0.04</v>
      </c>
      <c r="Y146" s="1">
        <v>0.04</v>
      </c>
      <c r="Z146" s="1">
        <v>0.04</v>
      </c>
      <c r="AA146" s="1">
        <v>0.05</v>
      </c>
      <c r="AB146" s="1">
        <v>0.04</v>
      </c>
      <c r="AC146" s="1">
        <v>0.08</v>
      </c>
    </row>
    <row r="147" spans="1:29">
      <c r="B147" s="1" t="s">
        <v>9</v>
      </c>
      <c r="C147" s="1">
        <v>3.48</v>
      </c>
      <c r="D147" s="1">
        <v>2.59</v>
      </c>
      <c r="E147" s="1">
        <v>0.26</v>
      </c>
      <c r="F147" s="1">
        <v>0.85</v>
      </c>
      <c r="G147" s="1">
        <v>13.34</v>
      </c>
      <c r="H147" s="1">
        <v>12.58</v>
      </c>
      <c r="I147" s="1">
        <v>5.68</v>
      </c>
      <c r="J147" s="1">
        <v>7.37</v>
      </c>
      <c r="M147" s="1">
        <v>5.69</v>
      </c>
      <c r="N147" s="1">
        <v>5.2</v>
      </c>
      <c r="O147" s="1">
        <v>7.98</v>
      </c>
      <c r="P147" s="1">
        <v>7.04</v>
      </c>
      <c r="Q147" s="1">
        <v>5.96</v>
      </c>
      <c r="R147" s="1">
        <v>5.01</v>
      </c>
      <c r="S147" s="1">
        <v>6.58</v>
      </c>
      <c r="T147" s="1">
        <v>5.68</v>
      </c>
      <c r="U147" s="1">
        <v>5.12</v>
      </c>
      <c r="V147" s="1">
        <v>5.55</v>
      </c>
      <c r="W147" s="1">
        <v>6.34</v>
      </c>
      <c r="X147" s="1">
        <v>10.61</v>
      </c>
      <c r="Y147" s="1">
        <v>8.39</v>
      </c>
      <c r="Z147" s="1">
        <v>2.33</v>
      </c>
      <c r="AA147" s="1">
        <v>2.18</v>
      </c>
      <c r="AB147" s="1">
        <v>2.29</v>
      </c>
      <c r="AC147" s="1">
        <v>2.36</v>
      </c>
    </row>
    <row r="148" spans="1:29">
      <c r="B148" s="1" t="s">
        <v>10</v>
      </c>
      <c r="C148" s="1">
        <v>0.23</v>
      </c>
      <c r="D148" s="1">
        <v>0.14</v>
      </c>
      <c r="E148" s="1">
        <v>0.08</v>
      </c>
      <c r="F148" s="1">
        <v>0.12</v>
      </c>
      <c r="G148" s="1">
        <v>0.74</v>
      </c>
      <c r="H148" s="1">
        <v>0.29</v>
      </c>
      <c r="I148" s="1">
        <v>0.37</v>
      </c>
      <c r="J148" s="1">
        <v>0.45</v>
      </c>
      <c r="M148" s="1">
        <v>1</v>
      </c>
      <c r="N148" s="1">
        <v>0.52</v>
      </c>
      <c r="O148" s="1">
        <v>0.73</v>
      </c>
      <c r="P148" s="1">
        <v>0.77</v>
      </c>
      <c r="Q148" s="1">
        <v>0.89</v>
      </c>
      <c r="R148" s="1">
        <v>0.61</v>
      </c>
      <c r="S148" s="1">
        <v>0.71</v>
      </c>
      <c r="T148" s="1">
        <v>0.64</v>
      </c>
      <c r="U148" s="1">
        <v>1.73</v>
      </c>
      <c r="V148" s="1">
        <v>0.8</v>
      </c>
      <c r="W148" s="1">
        <v>0.84</v>
      </c>
      <c r="X148" s="1">
        <v>23.25</v>
      </c>
      <c r="Y148" s="1">
        <v>4</v>
      </c>
      <c r="Z148" s="1">
        <v>0.51</v>
      </c>
      <c r="AA148" s="1">
        <v>0.52</v>
      </c>
      <c r="AB148" s="1">
        <v>2.06</v>
      </c>
      <c r="AC148" s="1">
        <v>0.62</v>
      </c>
    </row>
    <row r="149" spans="1:29">
      <c r="B149" s="1" t="s">
        <v>11</v>
      </c>
      <c r="C149" s="1">
        <v>0.08</v>
      </c>
      <c r="D149" s="1">
        <v>0.06</v>
      </c>
      <c r="E149" s="1">
        <v>0.05</v>
      </c>
      <c r="F149" s="1">
        <v>0.07</v>
      </c>
      <c r="G149" s="1">
        <v>0.1</v>
      </c>
      <c r="H149" s="1">
        <v>0.09</v>
      </c>
      <c r="I149" s="1">
        <v>0.09</v>
      </c>
      <c r="J149" s="1">
        <v>0.12</v>
      </c>
      <c r="M149" s="1">
        <v>0.1</v>
      </c>
      <c r="N149" s="1">
        <v>0.09</v>
      </c>
      <c r="O149" s="1">
        <v>0.1</v>
      </c>
      <c r="P149" s="1">
        <v>0.09</v>
      </c>
      <c r="Q149" s="1">
        <v>0.1</v>
      </c>
      <c r="R149" s="1">
        <v>0.1</v>
      </c>
      <c r="S149" s="1">
        <v>0.1</v>
      </c>
      <c r="T149" s="1">
        <v>0.12</v>
      </c>
      <c r="U149" s="1">
        <v>0.1</v>
      </c>
      <c r="V149" s="1">
        <v>0.11</v>
      </c>
      <c r="W149" s="1">
        <v>0.08</v>
      </c>
      <c r="X149" s="1">
        <v>0.08</v>
      </c>
      <c r="Y149" s="1">
        <v>0.1</v>
      </c>
      <c r="Z149" s="1">
        <v>0.1</v>
      </c>
      <c r="AA149" s="1">
        <v>0.12</v>
      </c>
      <c r="AB149" s="1">
        <v>0.1</v>
      </c>
      <c r="AC149" s="1">
        <v>0.13</v>
      </c>
    </row>
    <row r="150" spans="1:29">
      <c r="A150" s="1" t="s">
        <v>12</v>
      </c>
      <c r="C150" s="1" t="s">
        <v>13</v>
      </c>
      <c r="D150" s="1" t="s">
        <v>260</v>
      </c>
      <c r="E150" s="1" t="s">
        <v>261</v>
      </c>
      <c r="F150" s="1" t="s">
        <v>262</v>
      </c>
      <c r="G150" s="1" t="s">
        <v>263</v>
      </c>
      <c r="H150" s="1" t="s">
        <v>264</v>
      </c>
      <c r="I150" s="1" t="s">
        <v>265</v>
      </c>
      <c r="J150" s="1" t="s">
        <v>266</v>
      </c>
      <c r="K150" s="1" t="s">
        <v>267</v>
      </c>
      <c r="L150" s="1" t="s">
        <v>268</v>
      </c>
      <c r="M150" s="1" t="s">
        <v>269</v>
      </c>
      <c r="N150" s="1" t="s">
        <v>270</v>
      </c>
      <c r="O150" s="1" t="s">
        <v>271</v>
      </c>
      <c r="P150" s="1" t="s">
        <v>272</v>
      </c>
      <c r="Q150" s="1" t="s">
        <v>273</v>
      </c>
      <c r="R150" s="1" t="s">
        <v>274</v>
      </c>
      <c r="S150" s="1" t="s">
        <v>274</v>
      </c>
      <c r="T150" s="1" t="s">
        <v>274</v>
      </c>
      <c r="U150" s="1" t="s">
        <v>274</v>
      </c>
      <c r="V150" s="1" t="s">
        <v>275</v>
      </c>
      <c r="W150" s="1" t="s">
        <v>275</v>
      </c>
      <c r="X150" s="1" t="s">
        <v>276</v>
      </c>
      <c r="Y150" s="1" t="s">
        <v>277</v>
      </c>
      <c r="Z150" s="1" t="s">
        <v>278</v>
      </c>
      <c r="AA150" s="1" t="s">
        <v>278</v>
      </c>
      <c r="AB150" s="1" t="s">
        <v>278</v>
      </c>
      <c r="AC150" s="1" t="s">
        <v>279</v>
      </c>
    </row>
    <row r="151" spans="1:29">
      <c r="A151" s="1" t="s">
        <v>21</v>
      </c>
      <c r="C151" s="1">
        <v>4.09</v>
      </c>
      <c r="D151" s="1">
        <v>2.883</v>
      </c>
      <c r="E151" s="1">
        <v>0.455</v>
      </c>
      <c r="F151" s="1">
        <v>1.139</v>
      </c>
      <c r="G151" s="1">
        <v>14.288</v>
      </c>
      <c r="H151" s="1">
        <v>13.15</v>
      </c>
      <c r="I151" s="1">
        <v>6.458</v>
      </c>
      <c r="J151" s="1">
        <v>8.144</v>
      </c>
      <c r="K151" s="1">
        <v>15.438</v>
      </c>
      <c r="L151" s="1">
        <v>29.001</v>
      </c>
      <c r="M151" s="1">
        <v>6.945</v>
      </c>
      <c r="N151" s="1">
        <v>5.96</v>
      </c>
      <c r="O151" s="1">
        <v>8.984</v>
      </c>
      <c r="P151" s="1">
        <v>8.032</v>
      </c>
      <c r="Q151" s="1">
        <v>7.229</v>
      </c>
      <c r="R151" s="1">
        <v>5.895</v>
      </c>
      <c r="S151" s="1">
        <v>7.576</v>
      </c>
      <c r="T151" s="1">
        <v>6.639</v>
      </c>
      <c r="U151" s="1">
        <v>7.083</v>
      </c>
      <c r="V151" s="1">
        <v>6.658</v>
      </c>
      <c r="W151" s="1">
        <v>7.456</v>
      </c>
      <c r="X151" s="1">
        <v>34.074</v>
      </c>
      <c r="Y151" s="1">
        <v>24.788</v>
      </c>
      <c r="Z151" s="1">
        <v>3.106</v>
      </c>
      <c r="AA151" s="1">
        <v>3.116</v>
      </c>
      <c r="AB151" s="1">
        <v>4.565</v>
      </c>
      <c r="AC151" s="1">
        <v>3.346</v>
      </c>
    </row>
    <row r="152" spans="1:29">
      <c r="A152" s="1" t="s">
        <v>22</v>
      </c>
      <c r="C152" s="1">
        <f>C151+D151+E151+F151+G151+H151+I151+J151+K151+L151+M151+N151+O151+P151+Q151+R151+S151+T151+U151+V151+W151+X151+Y151+Z151+AA151+AB151+AC151</f>
        <v>246.498</v>
      </c>
    </row>
    <row r="153" spans="1:29">
      <c r="A153" s="1" t="s">
        <v>23</v>
      </c>
      <c r="C153" s="1">
        <v>5796</v>
      </c>
    </row>
    <row r="154" spans="1:29">
      <c r="A154" s="1" t="s">
        <v>24</v>
      </c>
      <c r="C154" s="3">
        <f>C152/C153</f>
        <v>0.0425289855072464</v>
      </c>
    </row>
    <row r="155" spans="1:29">
      <c r="A155" s="1" t="s">
        <v>25</v>
      </c>
      <c r="C155" s="3">
        <f>SUMIF(C144:AC144,"Young",C151:AC151)/C153</f>
        <v>0.034861801242236</v>
      </c>
    </row>
    <row r="156" spans="1:29">
      <c r="C156" s="1" t="s">
        <v>280</v>
      </c>
    </row>
    <row r="157" spans="1:29">
      <c r="A157" s="1" t="s">
        <v>2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  <c r="AA157" s="1">
        <v>24</v>
      </c>
      <c r="AB157" s="1">
        <v>25</v>
      </c>
      <c r="AC157" s="1">
        <v>26</v>
      </c>
    </row>
    <row r="158" spans="1:29">
      <c r="A158" s="1" t="s">
        <v>3</v>
      </c>
      <c r="C158" s="1" t="s">
        <v>4</v>
      </c>
      <c r="D158" s="1" t="s">
        <v>4</v>
      </c>
      <c r="E158" s="1" t="s">
        <v>4</v>
      </c>
      <c r="F158" s="1" t="s">
        <v>61</v>
      </c>
      <c r="G158" s="1" t="s">
        <v>4</v>
      </c>
      <c r="H158" s="1" t="s">
        <v>4</v>
      </c>
      <c r="I158" s="1" t="s">
        <v>145</v>
      </c>
      <c r="J158" s="1" t="s">
        <v>4</v>
      </c>
      <c r="K158" s="1" t="s">
        <v>61</v>
      </c>
      <c r="L158" s="1" t="s">
        <v>5</v>
      </c>
      <c r="M158" s="1" t="s">
        <v>4</v>
      </c>
      <c r="N158" s="1" t="s">
        <v>61</v>
      </c>
      <c r="O158" s="1" t="s">
        <v>4</v>
      </c>
      <c r="P158" s="1" t="s">
        <v>4</v>
      </c>
      <c r="Q158" s="1" t="s">
        <v>4</v>
      </c>
      <c r="R158" s="1" t="s">
        <v>61</v>
      </c>
      <c r="S158" s="1" t="s">
        <v>4</v>
      </c>
      <c r="T158" s="1" t="s">
        <v>4</v>
      </c>
      <c r="U158" s="1" t="s">
        <v>61</v>
      </c>
      <c r="V158" s="1" t="s">
        <v>4</v>
      </c>
      <c r="W158" s="1" t="s">
        <v>4</v>
      </c>
      <c r="X158" s="1" t="s">
        <v>4</v>
      </c>
      <c r="Y158" s="1" t="s">
        <v>4</v>
      </c>
      <c r="Z158" s="1" t="s">
        <v>4</v>
      </c>
      <c r="AA158" s="1" t="s">
        <v>4</v>
      </c>
      <c r="AB158" s="1" t="s">
        <v>4</v>
      </c>
      <c r="AC158" s="1" t="s">
        <v>4</v>
      </c>
    </row>
    <row r="159" spans="1:29">
      <c r="A159" s="1" t="s">
        <v>6</v>
      </c>
      <c r="B159" s="1" t="s">
        <v>7</v>
      </c>
      <c r="C159" s="1">
        <v>0.05</v>
      </c>
      <c r="D159" s="1">
        <v>0.11</v>
      </c>
      <c r="E159" s="1">
        <v>0.05</v>
      </c>
      <c r="G159" s="1">
        <v>0.06</v>
      </c>
      <c r="H159" s="1">
        <v>0.05</v>
      </c>
      <c r="J159" s="1">
        <v>0.04</v>
      </c>
      <c r="M159" s="1">
        <v>0.04</v>
      </c>
      <c r="O159" s="1">
        <v>0.07</v>
      </c>
      <c r="P159" s="1">
        <v>0.07</v>
      </c>
      <c r="Q159" s="1">
        <v>0.1</v>
      </c>
      <c r="S159" s="1">
        <v>0.06</v>
      </c>
      <c r="T159" s="1">
        <v>0.1</v>
      </c>
      <c r="V159" s="1">
        <v>0.07</v>
      </c>
      <c r="W159" s="1">
        <v>0.06</v>
      </c>
      <c r="X159" s="1">
        <v>0.07</v>
      </c>
      <c r="Y159" s="1">
        <v>0.05</v>
      </c>
      <c r="Z159" s="1">
        <v>0.04</v>
      </c>
      <c r="AA159" s="1">
        <v>0.06</v>
      </c>
      <c r="AB159" s="1">
        <v>0.04</v>
      </c>
      <c r="AC159" s="1">
        <v>0.07</v>
      </c>
    </row>
    <row r="160" spans="1:29">
      <c r="B160" s="1" t="s">
        <v>8</v>
      </c>
      <c r="C160" s="1">
        <v>0.22</v>
      </c>
      <c r="D160" s="1">
        <v>0.09</v>
      </c>
      <c r="E160" s="1">
        <v>0.04</v>
      </c>
      <c r="G160" s="1">
        <v>0.04</v>
      </c>
      <c r="H160" s="1">
        <v>0.02</v>
      </c>
      <c r="J160" s="1">
        <v>0.03</v>
      </c>
      <c r="M160" s="1">
        <v>0.02</v>
      </c>
      <c r="O160" s="1">
        <v>0.05</v>
      </c>
      <c r="P160" s="1">
        <v>0.08</v>
      </c>
      <c r="Q160" s="1">
        <v>0.08</v>
      </c>
      <c r="S160" s="1">
        <v>0.06</v>
      </c>
      <c r="T160" s="1">
        <v>0.05</v>
      </c>
      <c r="V160" s="1">
        <v>0.05</v>
      </c>
      <c r="W160" s="1">
        <v>0.03</v>
      </c>
      <c r="X160" s="1">
        <v>0.04</v>
      </c>
      <c r="Y160" s="1">
        <v>0.1</v>
      </c>
      <c r="Z160" s="1">
        <v>0.04</v>
      </c>
      <c r="AA160" s="1">
        <v>0.04</v>
      </c>
      <c r="AB160" s="1">
        <v>0.04</v>
      </c>
      <c r="AC160" s="1">
        <v>0.06</v>
      </c>
    </row>
    <row r="161" spans="1:29">
      <c r="B161" s="1" t="s">
        <v>9</v>
      </c>
      <c r="C161" s="1">
        <v>6.42</v>
      </c>
      <c r="D161" s="1">
        <v>6.49</v>
      </c>
      <c r="E161" s="1">
        <v>6.13</v>
      </c>
      <c r="G161" s="1">
        <v>3.66</v>
      </c>
      <c r="H161" s="1">
        <v>2.67</v>
      </c>
      <c r="J161" s="1">
        <v>4.32</v>
      </c>
      <c r="M161" s="1">
        <v>0.63</v>
      </c>
      <c r="O161" s="1">
        <v>5.96</v>
      </c>
      <c r="P161" s="1">
        <v>5.69</v>
      </c>
      <c r="Q161" s="1">
        <v>9.53</v>
      </c>
      <c r="S161" s="1">
        <v>12.88</v>
      </c>
      <c r="T161" s="1">
        <v>9.5</v>
      </c>
      <c r="V161" s="1">
        <v>3.96</v>
      </c>
      <c r="W161" s="1">
        <v>2.34</v>
      </c>
      <c r="X161" s="1">
        <v>3.78</v>
      </c>
      <c r="Y161" s="1">
        <v>3.22</v>
      </c>
      <c r="Z161" s="1">
        <v>3.84</v>
      </c>
      <c r="AA161" s="1">
        <v>5.29</v>
      </c>
      <c r="AB161" s="1">
        <v>3.14</v>
      </c>
      <c r="AC161" s="1">
        <v>5.29</v>
      </c>
    </row>
    <row r="162" spans="1:29">
      <c r="B162" s="1" t="s">
        <v>10</v>
      </c>
      <c r="C162" s="1">
        <v>0.23</v>
      </c>
      <c r="D162" s="1">
        <v>0.31</v>
      </c>
      <c r="E162" s="1">
        <v>0.24</v>
      </c>
      <c r="G162" s="1">
        <v>0.22</v>
      </c>
      <c r="H162" s="1">
        <v>0.27</v>
      </c>
      <c r="J162" s="1">
        <v>0.42</v>
      </c>
      <c r="M162" s="1">
        <v>0.14</v>
      </c>
      <c r="O162" s="1">
        <v>0.4</v>
      </c>
      <c r="P162" s="1">
        <v>0.42</v>
      </c>
      <c r="Q162" s="1">
        <v>0.53</v>
      </c>
      <c r="S162" s="1">
        <v>0.57</v>
      </c>
      <c r="T162" s="1">
        <v>1.09</v>
      </c>
      <c r="V162" s="1">
        <v>0.38</v>
      </c>
      <c r="W162" s="1">
        <v>0.44</v>
      </c>
      <c r="X162" s="1">
        <v>0.38</v>
      </c>
      <c r="Y162" s="1">
        <v>0.46</v>
      </c>
      <c r="Z162" s="1">
        <v>0.5</v>
      </c>
      <c r="AA162" s="1">
        <v>0.43</v>
      </c>
      <c r="AB162" s="1">
        <v>0.37</v>
      </c>
      <c r="AC162" s="1">
        <v>0.53</v>
      </c>
    </row>
    <row r="163" spans="1:29">
      <c r="B163" s="1" t="s">
        <v>11</v>
      </c>
      <c r="C163" s="1">
        <v>0.1</v>
      </c>
      <c r="D163" s="1">
        <v>0.1</v>
      </c>
      <c r="E163" s="1">
        <v>0.16</v>
      </c>
      <c r="G163" s="1">
        <v>0.09</v>
      </c>
      <c r="H163" s="1">
        <v>0.08</v>
      </c>
      <c r="J163" s="1">
        <v>0.09</v>
      </c>
      <c r="M163" s="1">
        <v>0.07</v>
      </c>
      <c r="O163" s="1">
        <v>0.09</v>
      </c>
      <c r="P163" s="1">
        <v>0.12</v>
      </c>
      <c r="Q163" s="1">
        <v>0.1</v>
      </c>
      <c r="S163" s="1">
        <v>0.1</v>
      </c>
      <c r="T163" s="1">
        <v>0.12</v>
      </c>
      <c r="V163" s="1">
        <v>0.09</v>
      </c>
      <c r="W163" s="1">
        <v>0.12</v>
      </c>
      <c r="X163" s="1">
        <v>0.11</v>
      </c>
      <c r="Y163" s="1">
        <v>0.12</v>
      </c>
      <c r="Z163" s="1">
        <v>0.1</v>
      </c>
      <c r="AA163" s="1">
        <v>0.09</v>
      </c>
      <c r="AB163" s="1">
        <v>0.09</v>
      </c>
      <c r="AC163" s="1">
        <v>0.11</v>
      </c>
    </row>
    <row r="164" spans="1:29">
      <c r="A164" s="1" t="s">
        <v>12</v>
      </c>
      <c r="C164" s="1" t="s">
        <v>169</v>
      </c>
      <c r="D164" s="1" t="s">
        <v>281</v>
      </c>
      <c r="E164" s="1" t="s">
        <v>282</v>
      </c>
      <c r="F164" s="1" t="s">
        <v>283</v>
      </c>
      <c r="G164" s="1" t="s">
        <v>215</v>
      </c>
      <c r="H164" s="1" t="s">
        <v>215</v>
      </c>
      <c r="J164" s="1" t="s">
        <v>284</v>
      </c>
      <c r="K164" s="1" t="s">
        <v>285</v>
      </c>
      <c r="L164" s="1" t="s">
        <v>286</v>
      </c>
      <c r="M164" s="1" t="s">
        <v>287</v>
      </c>
      <c r="N164" s="1" t="s">
        <v>288</v>
      </c>
      <c r="O164" s="1" t="s">
        <v>289</v>
      </c>
      <c r="P164" s="1" t="s">
        <v>290</v>
      </c>
      <c r="Q164" s="1" t="s">
        <v>291</v>
      </c>
      <c r="R164" s="1" t="s">
        <v>292</v>
      </c>
      <c r="S164" s="1" t="s">
        <v>293</v>
      </c>
      <c r="T164" s="1" t="s">
        <v>294</v>
      </c>
      <c r="U164" s="1" t="s">
        <v>295</v>
      </c>
      <c r="V164" s="1" t="s">
        <v>296</v>
      </c>
      <c r="W164" s="1" t="s">
        <v>297</v>
      </c>
      <c r="X164" s="1" t="s">
        <v>298</v>
      </c>
      <c r="Y164" s="1" t="s">
        <v>299</v>
      </c>
      <c r="Z164" s="1" t="s">
        <v>300</v>
      </c>
      <c r="AA164" s="1" t="s">
        <v>301</v>
      </c>
      <c r="AB164" s="1" t="s">
        <v>302</v>
      </c>
      <c r="AC164" s="1" t="s">
        <v>301</v>
      </c>
    </row>
    <row r="165" spans="1:29">
      <c r="A165" s="1" t="s">
        <v>21</v>
      </c>
      <c r="C165" s="1">
        <v>7.113</v>
      </c>
      <c r="D165" s="1">
        <v>7.185</v>
      </c>
      <c r="E165" s="1">
        <v>6.668</v>
      </c>
      <c r="F165" s="1">
        <v>6.461</v>
      </c>
      <c r="G165" s="1">
        <v>4.134</v>
      </c>
      <c r="H165" s="1">
        <v>3.143</v>
      </c>
      <c r="I165" s="1">
        <v>0.404</v>
      </c>
      <c r="J165" s="1">
        <v>4.959</v>
      </c>
      <c r="K165" s="1">
        <v>9.986</v>
      </c>
      <c r="L165" s="1">
        <v>26.367</v>
      </c>
      <c r="M165" s="1">
        <v>0.923</v>
      </c>
      <c r="N165" s="1">
        <v>19.33</v>
      </c>
      <c r="O165" s="1">
        <v>6.637</v>
      </c>
      <c r="P165" s="1">
        <v>6.451</v>
      </c>
      <c r="Q165" s="1">
        <v>10.405</v>
      </c>
      <c r="R165" s="1">
        <v>22.984</v>
      </c>
      <c r="S165" s="1">
        <v>13.745</v>
      </c>
      <c r="T165" s="1">
        <v>10.89</v>
      </c>
      <c r="U165" s="1">
        <v>42.755</v>
      </c>
      <c r="V165" s="1">
        <v>4.61</v>
      </c>
      <c r="W165" s="1">
        <v>3.047</v>
      </c>
      <c r="X165" s="1">
        <v>4.424</v>
      </c>
      <c r="Y165" s="1">
        <v>4.016</v>
      </c>
      <c r="Z165" s="1">
        <v>4.598</v>
      </c>
      <c r="AA165" s="1">
        <v>5.955</v>
      </c>
      <c r="AB165" s="1">
        <v>3.734</v>
      </c>
      <c r="AC165" s="1">
        <v>6.151</v>
      </c>
    </row>
    <row r="166" spans="1:29">
      <c r="A166" s="1" t="s">
        <v>22</v>
      </c>
      <c r="C166" s="1">
        <f>C165+D165+E165+F165+G165+H165+I165+J165+K165+L165+M165+N165+O165+P165+Q165+R165+S165+T165+U165+V165+W165+X165+Y165+Z165+AA165+AB165+AC165</f>
        <v>247.075</v>
      </c>
    </row>
    <row r="167" spans="1:29">
      <c r="A167" s="1" t="s">
        <v>23</v>
      </c>
      <c r="C167" s="1">
        <v>6418</v>
      </c>
    </row>
    <row r="168" spans="1:29">
      <c r="A168" s="1" t="s">
        <v>24</v>
      </c>
      <c r="C168" s="3">
        <f>C166/C167</f>
        <v>0.0384971953879713</v>
      </c>
    </row>
    <row r="169" spans="1:29">
      <c r="A169" s="1" t="s">
        <v>25</v>
      </c>
      <c r="C169" s="3">
        <f>SUMIF(C158:AC158,"Young",C165:AC165)/C167</f>
        <v>0.0185085696478654</v>
      </c>
    </row>
    <row r="170" spans="1:29">
      <c r="C170" s="1" t="s">
        <v>303</v>
      </c>
    </row>
    <row r="171" spans="1:29">
      <c r="A171" s="1" t="s">
        <v>2</v>
      </c>
      <c r="C171" s="1">
        <v>0</v>
      </c>
      <c r="D171" s="1">
        <v>1</v>
      </c>
      <c r="E171" s="1">
        <v>2</v>
      </c>
      <c r="F171" s="1">
        <v>3</v>
      </c>
      <c r="G171" s="1">
        <v>4</v>
      </c>
      <c r="H171" s="1">
        <v>5</v>
      </c>
      <c r="I171" s="1">
        <v>6</v>
      </c>
      <c r="J171" s="1">
        <v>7</v>
      </c>
      <c r="K171" s="1">
        <v>8</v>
      </c>
      <c r="L171" s="1">
        <v>9</v>
      </c>
      <c r="M171" s="1">
        <v>10</v>
      </c>
      <c r="N171" s="1">
        <v>11</v>
      </c>
      <c r="O171" s="1">
        <v>12</v>
      </c>
      <c r="P171" s="1">
        <v>13</v>
      </c>
      <c r="Q171" s="1">
        <v>14</v>
      </c>
      <c r="R171" s="1">
        <v>15</v>
      </c>
      <c r="S171" s="1">
        <v>16</v>
      </c>
      <c r="T171" s="1">
        <v>17</v>
      </c>
      <c r="U171" s="1">
        <v>18</v>
      </c>
    </row>
    <row r="172" spans="1:29">
      <c r="A172" s="1" t="s">
        <v>3</v>
      </c>
      <c r="C172" s="1" t="s">
        <v>5</v>
      </c>
      <c r="D172" s="1" t="s">
        <v>4</v>
      </c>
      <c r="E172" s="1" t="s">
        <v>4</v>
      </c>
      <c r="F172" s="1" t="s">
        <v>4</v>
      </c>
      <c r="G172" s="1" t="s">
        <v>4</v>
      </c>
      <c r="H172" s="1" t="s">
        <v>4</v>
      </c>
      <c r="I172" s="1" t="s">
        <v>4</v>
      </c>
      <c r="J172" s="1" t="s">
        <v>4</v>
      </c>
      <c r="K172" s="1" t="s">
        <v>4</v>
      </c>
      <c r="L172" s="1" t="s">
        <v>4</v>
      </c>
      <c r="M172" s="1" t="s">
        <v>4</v>
      </c>
      <c r="N172" s="1" t="s">
        <v>4</v>
      </c>
      <c r="O172" s="1" t="s">
        <v>4</v>
      </c>
      <c r="P172" s="1" t="s">
        <v>4</v>
      </c>
      <c r="Q172" s="1" t="s">
        <v>4</v>
      </c>
      <c r="R172" s="1" t="s">
        <v>4</v>
      </c>
      <c r="S172" s="1" t="s">
        <v>4</v>
      </c>
      <c r="T172" s="1" t="s">
        <v>4</v>
      </c>
      <c r="U172" s="1" t="s">
        <v>4</v>
      </c>
    </row>
    <row r="173" spans="1:29">
      <c r="A173" s="1" t="s">
        <v>6</v>
      </c>
      <c r="B173" s="1" t="s">
        <v>7</v>
      </c>
      <c r="D173" s="1">
        <v>0.03</v>
      </c>
      <c r="E173" s="1">
        <v>0.03</v>
      </c>
      <c r="F173" s="1">
        <v>0.03</v>
      </c>
      <c r="G173" s="1">
        <v>0.03</v>
      </c>
      <c r="H173" s="1">
        <v>0.03</v>
      </c>
      <c r="I173" s="1">
        <v>0.03</v>
      </c>
      <c r="J173" s="1">
        <v>0.05</v>
      </c>
      <c r="K173" s="1">
        <v>0.04</v>
      </c>
      <c r="L173" s="1">
        <v>0.03</v>
      </c>
      <c r="M173" s="1">
        <v>0.04</v>
      </c>
      <c r="N173" s="1">
        <v>0.07</v>
      </c>
      <c r="O173" s="1">
        <v>0.07</v>
      </c>
      <c r="P173" s="1">
        <v>0.05</v>
      </c>
      <c r="Q173" s="1">
        <v>0.06</v>
      </c>
      <c r="R173" s="1">
        <v>0.06</v>
      </c>
      <c r="S173" s="1">
        <v>0.06</v>
      </c>
      <c r="T173" s="1">
        <v>0.04</v>
      </c>
      <c r="U173" s="1">
        <v>0.03</v>
      </c>
    </row>
    <row r="174" spans="1:29">
      <c r="B174" s="1" t="s">
        <v>8</v>
      </c>
      <c r="D174" s="1">
        <v>0.1</v>
      </c>
      <c r="E174" s="1">
        <v>0.02</v>
      </c>
      <c r="F174" s="1">
        <v>0.03</v>
      </c>
      <c r="G174" s="1">
        <v>0.05</v>
      </c>
      <c r="H174" s="1">
        <v>0.03</v>
      </c>
      <c r="I174" s="1">
        <v>0.03</v>
      </c>
      <c r="J174" s="1">
        <v>0.06</v>
      </c>
      <c r="K174" s="1">
        <v>0.03</v>
      </c>
      <c r="L174" s="1">
        <v>0.03</v>
      </c>
      <c r="M174" s="1">
        <v>0.03</v>
      </c>
      <c r="N174" s="1">
        <v>0.04</v>
      </c>
      <c r="O174" s="1">
        <v>0.07</v>
      </c>
      <c r="P174" s="1">
        <v>0.07</v>
      </c>
      <c r="Q174" s="1">
        <v>0.04</v>
      </c>
      <c r="R174" s="1">
        <v>0.04</v>
      </c>
      <c r="S174" s="1">
        <v>0.03</v>
      </c>
      <c r="T174" s="1">
        <v>0.04</v>
      </c>
      <c r="U174" s="1">
        <v>0.03</v>
      </c>
    </row>
    <row r="175" spans="1:29">
      <c r="B175" s="1" t="s">
        <v>9</v>
      </c>
      <c r="D175" s="1">
        <v>0.64</v>
      </c>
      <c r="E175" s="1">
        <v>0.69</v>
      </c>
      <c r="F175" s="1">
        <v>1.26</v>
      </c>
      <c r="G175" s="1">
        <v>1.68</v>
      </c>
      <c r="H175" s="1">
        <v>1.27</v>
      </c>
      <c r="I175" s="1">
        <v>1.8</v>
      </c>
      <c r="J175" s="1">
        <v>3.84</v>
      </c>
      <c r="K175" s="1">
        <v>2.5</v>
      </c>
      <c r="L175" s="1">
        <v>2.97</v>
      </c>
      <c r="M175" s="1">
        <v>2.11</v>
      </c>
      <c r="N175" s="1">
        <v>3</v>
      </c>
      <c r="O175" s="1">
        <v>1.67</v>
      </c>
      <c r="P175" s="1">
        <v>4.93</v>
      </c>
      <c r="Q175" s="1">
        <v>1.41</v>
      </c>
      <c r="R175" s="1">
        <v>0.85</v>
      </c>
      <c r="S175" s="1">
        <v>1.2</v>
      </c>
      <c r="T175" s="1">
        <v>0.93</v>
      </c>
      <c r="U175" s="1">
        <v>0.79</v>
      </c>
    </row>
    <row r="176" spans="1:29">
      <c r="B176" s="1" t="s">
        <v>10</v>
      </c>
      <c r="D176" s="1">
        <v>0.11</v>
      </c>
      <c r="E176" s="1">
        <v>0.1</v>
      </c>
      <c r="F176" s="1">
        <v>0.22</v>
      </c>
      <c r="G176" s="1">
        <v>0.18</v>
      </c>
      <c r="H176" s="1">
        <v>0.66</v>
      </c>
      <c r="I176" s="1">
        <v>0.21</v>
      </c>
      <c r="J176" s="1">
        <v>0.26</v>
      </c>
      <c r="K176" s="1">
        <v>0.29</v>
      </c>
      <c r="L176" s="1">
        <v>0.24</v>
      </c>
      <c r="M176" s="1">
        <v>0.33</v>
      </c>
      <c r="N176" s="1">
        <v>0.48</v>
      </c>
      <c r="O176" s="1">
        <v>0.33</v>
      </c>
      <c r="P176" s="1">
        <v>0.31</v>
      </c>
      <c r="Q176" s="1">
        <v>0.19</v>
      </c>
      <c r="R176" s="1">
        <v>0.22</v>
      </c>
      <c r="S176" s="1">
        <v>0.18</v>
      </c>
      <c r="T176" s="1">
        <v>0.23</v>
      </c>
      <c r="U176" s="1">
        <v>0.23</v>
      </c>
    </row>
    <row r="177" spans="1:62">
      <c r="B177" s="1" t="s">
        <v>11</v>
      </c>
      <c r="D177" s="1">
        <v>0.07</v>
      </c>
      <c r="E177" s="1">
        <v>0.07</v>
      </c>
      <c r="F177" s="1">
        <v>0.07</v>
      </c>
      <c r="G177" s="1">
        <v>0.06</v>
      </c>
      <c r="H177" s="1">
        <v>0.07</v>
      </c>
      <c r="I177" s="1">
        <v>0.08</v>
      </c>
      <c r="J177" s="1">
        <v>0.07</v>
      </c>
      <c r="K177" s="1">
        <v>0.1</v>
      </c>
      <c r="L177" s="1">
        <v>0.08</v>
      </c>
      <c r="M177" s="1">
        <v>0.09</v>
      </c>
      <c r="N177" s="1">
        <v>0.07</v>
      </c>
      <c r="O177" s="1">
        <v>0.08</v>
      </c>
      <c r="P177" s="1">
        <v>0.08</v>
      </c>
      <c r="Q177" s="1">
        <v>0.06</v>
      </c>
      <c r="R177" s="1">
        <v>0.07</v>
      </c>
      <c r="S177" s="1">
        <v>0.05</v>
      </c>
      <c r="T177" s="1">
        <v>0.09</v>
      </c>
      <c r="U177" s="1">
        <v>0.06</v>
      </c>
    </row>
    <row r="178" spans="1:62">
      <c r="A178" s="1" t="s">
        <v>12</v>
      </c>
      <c r="C178" s="1" t="s">
        <v>15</v>
      </c>
      <c r="D178" s="1" t="s">
        <v>304</v>
      </c>
      <c r="E178" s="1" t="s">
        <v>304</v>
      </c>
      <c r="F178" s="1" t="s">
        <v>16</v>
      </c>
      <c r="G178" s="1" t="s">
        <v>43</v>
      </c>
      <c r="H178" s="1" t="s">
        <v>17</v>
      </c>
      <c r="I178" s="1" t="s">
        <v>305</v>
      </c>
      <c r="J178" s="1" t="s">
        <v>306</v>
      </c>
      <c r="K178" s="1" t="s">
        <v>307</v>
      </c>
      <c r="L178" s="1" t="s">
        <v>308</v>
      </c>
      <c r="M178" s="1" t="s">
        <v>309</v>
      </c>
      <c r="N178" s="1" t="s">
        <v>310</v>
      </c>
      <c r="O178" s="1" t="s">
        <v>311</v>
      </c>
      <c r="P178" s="1" t="s">
        <v>312</v>
      </c>
      <c r="Q178" s="1" t="s">
        <v>313</v>
      </c>
      <c r="R178" s="1" t="s">
        <v>314</v>
      </c>
      <c r="S178" s="1" t="s">
        <v>315</v>
      </c>
      <c r="T178" s="1" t="s">
        <v>316</v>
      </c>
      <c r="U178" s="1" t="s">
        <v>317</v>
      </c>
    </row>
    <row r="179" spans="1:62">
      <c r="A179" s="1" t="s">
        <v>21</v>
      </c>
      <c r="C179" s="1">
        <v>9.667</v>
      </c>
      <c r="D179" s="1">
        <v>0.981</v>
      </c>
      <c r="E179" s="1">
        <v>0.978</v>
      </c>
      <c r="F179" s="1">
        <v>1.647</v>
      </c>
      <c r="G179" s="1">
        <v>2.048</v>
      </c>
      <c r="H179" s="1">
        <v>2.098</v>
      </c>
      <c r="I179" s="1">
        <v>2.228</v>
      </c>
      <c r="J179" s="1">
        <v>4.325</v>
      </c>
      <c r="K179" s="1">
        <v>3.049</v>
      </c>
      <c r="L179" s="1">
        <v>3.431</v>
      </c>
      <c r="M179" s="1">
        <v>2.689</v>
      </c>
      <c r="N179" s="1">
        <v>3.762</v>
      </c>
      <c r="O179" s="1">
        <v>2.3</v>
      </c>
      <c r="P179" s="1">
        <v>5.54</v>
      </c>
      <c r="Q179" s="1">
        <v>1.801</v>
      </c>
      <c r="R179" s="1">
        <v>1.262</v>
      </c>
      <c r="S179" s="1">
        <v>1.572</v>
      </c>
      <c r="T179" s="1">
        <v>1.36</v>
      </c>
      <c r="U179" s="1">
        <v>1.167</v>
      </c>
    </row>
    <row r="180" spans="1:62">
      <c r="A180" s="1" t="s">
        <v>22</v>
      </c>
      <c r="C180" s="1">
        <f>C179+D179+E179+F179+G179+H179+I179+J179+K179+L179+M179+N179+O179+P179+Q179+R179+S179+T179+U179</f>
        <v>51.905</v>
      </c>
    </row>
    <row r="181" spans="1:62">
      <c r="A181" s="1" t="s">
        <v>23</v>
      </c>
      <c r="C181" s="1">
        <v>4862</v>
      </c>
    </row>
    <row r="182" spans="1:62">
      <c r="A182" s="1" t="s">
        <v>24</v>
      </c>
      <c r="C182" s="3">
        <f>C180/C181</f>
        <v>0.0106756478815302</v>
      </c>
    </row>
    <row r="183" spans="1:62">
      <c r="A183" s="1" t="s">
        <v>25</v>
      </c>
      <c r="C183" s="3">
        <f>SUMIF(C172:U172,"Young",C179:U179)/C181</f>
        <v>0.00868737145207734</v>
      </c>
    </row>
    <row r="184" spans="1:62">
      <c r="C184" s="1" t="s">
        <v>318</v>
      </c>
    </row>
    <row r="185" spans="1:62">
      <c r="A185" s="1" t="s">
        <v>2</v>
      </c>
      <c r="C185" s="1">
        <v>0</v>
      </c>
      <c r="D185" s="1">
        <v>1</v>
      </c>
      <c r="E185" s="1">
        <v>2</v>
      </c>
      <c r="F185" s="1">
        <v>3</v>
      </c>
      <c r="G185" s="1">
        <v>4</v>
      </c>
      <c r="H185" s="1">
        <v>5</v>
      </c>
      <c r="I185" s="1">
        <v>6</v>
      </c>
      <c r="J185" s="1">
        <v>7</v>
      </c>
      <c r="K185" s="1">
        <v>8</v>
      </c>
      <c r="L185" s="1">
        <v>9</v>
      </c>
      <c r="M185" s="1">
        <v>10</v>
      </c>
      <c r="N185" s="1">
        <v>11</v>
      </c>
      <c r="O185" s="1">
        <v>12</v>
      </c>
      <c r="P185" s="1">
        <v>13</v>
      </c>
      <c r="Q185" s="1">
        <v>14</v>
      </c>
      <c r="R185" s="1">
        <v>15</v>
      </c>
      <c r="S185" s="1">
        <v>16</v>
      </c>
      <c r="T185" s="1">
        <v>17</v>
      </c>
      <c r="U185" s="1">
        <v>18</v>
      </c>
      <c r="V185" s="1">
        <v>19</v>
      </c>
      <c r="W185" s="1">
        <v>20</v>
      </c>
      <c r="X185" s="1">
        <v>21</v>
      </c>
      <c r="Y185" s="1">
        <v>22</v>
      </c>
      <c r="Z185" s="1">
        <v>23</v>
      </c>
      <c r="AA185" s="1">
        <v>24</v>
      </c>
      <c r="AB185" s="1">
        <v>25</v>
      </c>
      <c r="AC185" s="1">
        <v>26</v>
      </c>
      <c r="AD185" s="1">
        <v>27</v>
      </c>
      <c r="AE185" s="1">
        <v>28</v>
      </c>
      <c r="AF185" s="1">
        <v>29</v>
      </c>
      <c r="AG185" s="1">
        <v>30</v>
      </c>
      <c r="AH185" s="1">
        <v>31</v>
      </c>
      <c r="AI185" s="1">
        <v>32</v>
      </c>
      <c r="AJ185" s="1">
        <v>33</v>
      </c>
      <c r="AK185" s="1">
        <v>34</v>
      </c>
      <c r="AL185" s="1">
        <v>35</v>
      </c>
      <c r="AM185" s="1">
        <v>36</v>
      </c>
      <c r="AN185" s="1">
        <v>37</v>
      </c>
      <c r="AO185" s="1">
        <v>38</v>
      </c>
      <c r="AP185" s="1">
        <v>39</v>
      </c>
      <c r="AQ185" s="1">
        <v>40</v>
      </c>
      <c r="AR185" s="1">
        <v>41</v>
      </c>
      <c r="AS185" s="1">
        <v>42</v>
      </c>
      <c r="AT185" s="1">
        <v>43</v>
      </c>
      <c r="AU185" s="1">
        <v>44</v>
      </c>
      <c r="AV185" s="1">
        <v>45</v>
      </c>
      <c r="AW185" s="1">
        <v>46</v>
      </c>
      <c r="AX185" s="1">
        <v>47</v>
      </c>
      <c r="AY185" s="1">
        <v>48</v>
      </c>
      <c r="AZ185" s="1">
        <v>49</v>
      </c>
      <c r="BA185" s="1">
        <v>50</v>
      </c>
      <c r="BB185" s="1">
        <v>51</v>
      </c>
      <c r="BC185" s="1">
        <v>52</v>
      </c>
      <c r="BD185" s="1">
        <v>53</v>
      </c>
      <c r="BE185" s="1">
        <v>54</v>
      </c>
      <c r="BF185" s="1">
        <v>55</v>
      </c>
      <c r="BG185" s="1">
        <v>56</v>
      </c>
      <c r="BH185" s="1">
        <v>57</v>
      </c>
      <c r="BI185" s="1">
        <v>58</v>
      </c>
      <c r="BJ185" s="1">
        <v>59</v>
      </c>
    </row>
    <row r="186" spans="1:62">
      <c r="A186" s="1" t="s">
        <v>3</v>
      </c>
      <c r="C186" s="1" t="s">
        <v>4</v>
      </c>
      <c r="D186" s="1" t="s">
        <v>4</v>
      </c>
      <c r="E186" s="1" t="s">
        <v>4</v>
      </c>
      <c r="F186" s="1" t="s">
        <v>4</v>
      </c>
      <c r="G186" s="1" t="s">
        <v>4</v>
      </c>
      <c r="H186" s="1" t="s">
        <v>5</v>
      </c>
      <c r="I186" s="1" t="s">
        <v>4</v>
      </c>
      <c r="J186" s="1" t="s">
        <v>145</v>
      </c>
      <c r="K186" s="1" t="s">
        <v>4</v>
      </c>
      <c r="L186" s="1" t="s">
        <v>4</v>
      </c>
      <c r="M186" s="1" t="s">
        <v>4</v>
      </c>
      <c r="N186" s="1" t="s">
        <v>4</v>
      </c>
      <c r="O186" s="1" t="s">
        <v>4</v>
      </c>
      <c r="P186" s="1" t="s">
        <v>4</v>
      </c>
      <c r="Q186" s="1" t="s">
        <v>4</v>
      </c>
      <c r="R186" s="1" t="s">
        <v>4</v>
      </c>
      <c r="S186" s="1" t="s">
        <v>4</v>
      </c>
      <c r="T186" s="1" t="s">
        <v>4</v>
      </c>
      <c r="U186" s="1" t="s">
        <v>4</v>
      </c>
      <c r="V186" s="1" t="s">
        <v>4</v>
      </c>
      <c r="W186" s="1" t="s">
        <v>4</v>
      </c>
      <c r="X186" s="1" t="s">
        <v>4</v>
      </c>
      <c r="Y186" s="1" t="s">
        <v>4</v>
      </c>
      <c r="Z186" s="1" t="s">
        <v>4</v>
      </c>
      <c r="AA186" s="1" t="s">
        <v>4</v>
      </c>
      <c r="AB186" s="1" t="s">
        <v>4</v>
      </c>
      <c r="AC186" s="1" t="s">
        <v>4</v>
      </c>
      <c r="AD186" s="1" t="s">
        <v>4</v>
      </c>
      <c r="AE186" s="1" t="s">
        <v>4</v>
      </c>
      <c r="AF186" s="1" t="s">
        <v>4</v>
      </c>
      <c r="AG186" s="1" t="s">
        <v>4</v>
      </c>
      <c r="AH186" s="1" t="s">
        <v>4</v>
      </c>
      <c r="AI186" s="1" t="s">
        <v>4</v>
      </c>
      <c r="AJ186" s="1" t="s">
        <v>4</v>
      </c>
      <c r="AK186" s="1" t="s">
        <v>4</v>
      </c>
      <c r="AL186" s="1" t="s">
        <v>4</v>
      </c>
      <c r="AM186" s="1" t="s">
        <v>4</v>
      </c>
      <c r="AN186" s="1" t="s">
        <v>4</v>
      </c>
      <c r="AO186" s="1" t="s">
        <v>4</v>
      </c>
      <c r="AP186" s="1" t="s">
        <v>4</v>
      </c>
      <c r="AQ186" s="1" t="s">
        <v>4</v>
      </c>
      <c r="AR186" s="1" t="s">
        <v>4</v>
      </c>
      <c r="AS186" s="1" t="s">
        <v>4</v>
      </c>
      <c r="AT186" s="1" t="s">
        <v>4</v>
      </c>
      <c r="AU186" s="1" t="s">
        <v>4</v>
      </c>
      <c r="AV186" s="1" t="s">
        <v>4</v>
      </c>
      <c r="AW186" s="1" t="s">
        <v>4</v>
      </c>
      <c r="AX186" s="1" t="s">
        <v>4</v>
      </c>
      <c r="AY186" s="1" t="s">
        <v>4</v>
      </c>
      <c r="AZ186" s="1" t="s">
        <v>4</v>
      </c>
      <c r="BA186" s="1" t="s">
        <v>4</v>
      </c>
      <c r="BB186" s="1" t="s">
        <v>4</v>
      </c>
      <c r="BC186" s="1" t="s">
        <v>4</v>
      </c>
      <c r="BD186" s="1" t="s">
        <v>4</v>
      </c>
      <c r="BE186" s="1" t="s">
        <v>4</v>
      </c>
      <c r="BF186" s="1" t="s">
        <v>4</v>
      </c>
      <c r="BG186" s="1" t="s">
        <v>4</v>
      </c>
      <c r="BH186" s="1" t="s">
        <v>4</v>
      </c>
      <c r="BI186" s="1" t="s">
        <v>4</v>
      </c>
      <c r="BJ186" s="1" t="s">
        <v>4</v>
      </c>
    </row>
    <row r="187" spans="1:62">
      <c r="A187" s="1" t="s">
        <v>6</v>
      </c>
      <c r="B187" s="1" t="s">
        <v>7</v>
      </c>
      <c r="C187" s="1">
        <v>0.04</v>
      </c>
      <c r="D187" s="1">
        <v>0.03</v>
      </c>
      <c r="E187" s="1">
        <v>0.03</v>
      </c>
      <c r="F187" s="1">
        <v>0.03</v>
      </c>
      <c r="G187" s="1">
        <v>0.02</v>
      </c>
      <c r="I187" s="1">
        <v>0.02</v>
      </c>
      <c r="K187" s="1">
        <v>0.03</v>
      </c>
      <c r="L187" s="1">
        <v>0.04</v>
      </c>
      <c r="M187" s="1">
        <v>0.03</v>
      </c>
      <c r="N187" s="1">
        <v>0.04</v>
      </c>
      <c r="O187" s="1">
        <v>0.03</v>
      </c>
      <c r="P187" s="1">
        <v>0.03</v>
      </c>
      <c r="Q187" s="1">
        <v>0.03</v>
      </c>
      <c r="R187" s="1">
        <v>0.03</v>
      </c>
      <c r="S187" s="1">
        <v>0.05</v>
      </c>
      <c r="T187" s="1">
        <v>0.05</v>
      </c>
      <c r="U187" s="1">
        <v>0.05</v>
      </c>
      <c r="V187" s="1">
        <v>0.03</v>
      </c>
      <c r="W187" s="1">
        <v>0.05</v>
      </c>
      <c r="X187" s="1">
        <v>0.06</v>
      </c>
      <c r="Y187" s="1">
        <v>0.07</v>
      </c>
      <c r="Z187" s="1">
        <v>0.03</v>
      </c>
      <c r="AA187" s="1">
        <v>0.03</v>
      </c>
      <c r="AB187" s="1">
        <v>0.06</v>
      </c>
      <c r="AC187" s="1">
        <v>0.03</v>
      </c>
      <c r="AD187" s="1">
        <v>0.04</v>
      </c>
      <c r="AE187" s="1">
        <v>0.03</v>
      </c>
      <c r="AF187" s="1">
        <v>0.03</v>
      </c>
      <c r="AG187" s="1">
        <v>0.04</v>
      </c>
      <c r="AH187" s="1">
        <v>0.03</v>
      </c>
      <c r="AI187" s="1">
        <v>0.04</v>
      </c>
      <c r="AJ187" s="1">
        <v>0.07</v>
      </c>
      <c r="AK187" s="1">
        <v>0.03</v>
      </c>
      <c r="AL187" s="1">
        <v>0.04</v>
      </c>
      <c r="AM187" s="1">
        <v>0.05</v>
      </c>
      <c r="AN187" s="1">
        <v>0.05</v>
      </c>
      <c r="AO187" s="1">
        <v>0.04</v>
      </c>
      <c r="AP187" s="1">
        <v>0.03</v>
      </c>
      <c r="AQ187" s="1">
        <v>0.03</v>
      </c>
      <c r="AR187" s="1">
        <v>0.03</v>
      </c>
      <c r="AS187" s="1">
        <v>0.03</v>
      </c>
      <c r="AT187" s="1">
        <v>0.03</v>
      </c>
      <c r="AU187" s="1">
        <v>0.04</v>
      </c>
      <c r="AV187" s="1">
        <v>0.04</v>
      </c>
      <c r="AW187" s="1">
        <v>0.03</v>
      </c>
      <c r="AX187" s="1">
        <v>0.04</v>
      </c>
      <c r="AY187" s="1">
        <v>0.03</v>
      </c>
      <c r="AZ187" s="1">
        <v>0.03</v>
      </c>
      <c r="BA187" s="1">
        <v>0.03</v>
      </c>
      <c r="BB187" s="1">
        <v>0.03</v>
      </c>
      <c r="BC187" s="1">
        <v>0.04</v>
      </c>
      <c r="BD187" s="1">
        <v>0.04</v>
      </c>
      <c r="BE187" s="1">
        <v>0.06</v>
      </c>
      <c r="BF187" s="1">
        <v>0.03</v>
      </c>
      <c r="BG187" s="1">
        <v>0.03</v>
      </c>
      <c r="BH187" s="1">
        <v>0.03</v>
      </c>
      <c r="BI187" s="1">
        <v>0.04</v>
      </c>
      <c r="BJ187" s="1">
        <v>0.07</v>
      </c>
    </row>
    <row r="188" spans="1:62">
      <c r="B188" s="1" t="s">
        <v>8</v>
      </c>
      <c r="C188" s="1">
        <v>0.21</v>
      </c>
      <c r="D188" s="1">
        <v>0.02</v>
      </c>
      <c r="E188" s="1">
        <v>0.03</v>
      </c>
      <c r="F188" s="1">
        <v>0.02</v>
      </c>
      <c r="G188" s="1">
        <v>0.02</v>
      </c>
      <c r="I188" s="1">
        <v>0.02</v>
      </c>
      <c r="K188" s="1">
        <v>0.03</v>
      </c>
      <c r="L188" s="1">
        <v>0.03</v>
      </c>
      <c r="M188" s="1">
        <v>0.02</v>
      </c>
      <c r="N188" s="1">
        <v>0.05</v>
      </c>
      <c r="O188" s="1">
        <v>0.03</v>
      </c>
      <c r="P188" s="1">
        <v>0.03</v>
      </c>
      <c r="Q188" s="1">
        <v>0.03</v>
      </c>
      <c r="R188" s="1">
        <v>0.03</v>
      </c>
      <c r="S188" s="1">
        <v>0.03</v>
      </c>
      <c r="T188" s="1">
        <v>0.03</v>
      </c>
      <c r="U188" s="1">
        <v>0.03</v>
      </c>
      <c r="V188" s="1">
        <v>0.03</v>
      </c>
      <c r="W188" s="1">
        <v>0.03</v>
      </c>
      <c r="X188" s="1">
        <v>0.03</v>
      </c>
      <c r="Y188" s="1">
        <v>0.03</v>
      </c>
      <c r="Z188" s="1">
        <v>0.03</v>
      </c>
      <c r="AA188" s="1">
        <v>0.04</v>
      </c>
      <c r="AB188" s="1">
        <v>0.03</v>
      </c>
      <c r="AC188" s="1">
        <v>0.02</v>
      </c>
      <c r="AD188" s="1">
        <v>0.03</v>
      </c>
      <c r="AE188" s="1">
        <v>0.03</v>
      </c>
      <c r="AF188" s="1">
        <v>0.03</v>
      </c>
      <c r="AG188" s="1">
        <v>0.03</v>
      </c>
      <c r="AH188" s="1">
        <v>0.03</v>
      </c>
      <c r="AI188" s="1">
        <v>0.03</v>
      </c>
      <c r="AJ188" s="1">
        <v>0.07</v>
      </c>
      <c r="AK188" s="1">
        <v>0.03</v>
      </c>
      <c r="AL188" s="1">
        <v>0.03</v>
      </c>
      <c r="AM188" s="1">
        <v>0.06</v>
      </c>
      <c r="AN188" s="1">
        <v>0.03</v>
      </c>
      <c r="AO188" s="1">
        <v>0.03</v>
      </c>
      <c r="AP188" s="1">
        <v>0.03</v>
      </c>
      <c r="AQ188" s="1">
        <v>0.03</v>
      </c>
      <c r="AR188" s="1">
        <v>0.03</v>
      </c>
      <c r="AS188" s="1">
        <v>0.03</v>
      </c>
      <c r="AT188" s="1">
        <v>0.04</v>
      </c>
      <c r="AU188" s="1">
        <v>0.02</v>
      </c>
      <c r="AV188" s="1">
        <v>0.04</v>
      </c>
      <c r="AW188" s="1">
        <v>0.03</v>
      </c>
      <c r="AX188" s="1">
        <v>0.03</v>
      </c>
      <c r="AY188" s="1">
        <v>0.03</v>
      </c>
      <c r="AZ188" s="1">
        <v>0.03</v>
      </c>
      <c r="BA188" s="1">
        <v>0.03</v>
      </c>
      <c r="BB188" s="1">
        <v>0.03</v>
      </c>
      <c r="BC188" s="1">
        <v>0.03</v>
      </c>
      <c r="BD188" s="1">
        <v>0.03</v>
      </c>
      <c r="BE188" s="1">
        <v>0.03</v>
      </c>
      <c r="BF188" s="1">
        <v>0.02</v>
      </c>
      <c r="BG188" s="1">
        <v>0.03</v>
      </c>
      <c r="BH188" s="1">
        <v>0.03</v>
      </c>
      <c r="BI188" s="1">
        <v>0.03</v>
      </c>
      <c r="BJ188" s="1">
        <v>0.04</v>
      </c>
    </row>
    <row r="189" spans="1:62">
      <c r="B189" s="1" t="s">
        <v>9</v>
      </c>
      <c r="C189" s="1">
        <v>3.06</v>
      </c>
      <c r="D189" s="1">
        <v>2.6</v>
      </c>
      <c r="E189" s="1">
        <v>0.39</v>
      </c>
      <c r="F189" s="1">
        <v>0.47</v>
      </c>
      <c r="G189" s="1">
        <v>0.6</v>
      </c>
      <c r="I189" s="1">
        <v>0.19</v>
      </c>
      <c r="K189" s="1">
        <v>2.92</v>
      </c>
      <c r="L189" s="1">
        <v>2.45</v>
      </c>
      <c r="M189" s="1">
        <v>1.48</v>
      </c>
      <c r="N189" s="1">
        <v>1.64</v>
      </c>
      <c r="O189" s="1">
        <v>1.66</v>
      </c>
      <c r="P189" s="1">
        <v>2.56</v>
      </c>
      <c r="Q189" s="1">
        <v>1.9</v>
      </c>
      <c r="R189" s="1">
        <v>1.61</v>
      </c>
      <c r="S189" s="1">
        <v>1.89</v>
      </c>
      <c r="T189" s="1">
        <v>1.58</v>
      </c>
      <c r="U189" s="1">
        <v>1.54</v>
      </c>
      <c r="V189" s="1">
        <v>1.55</v>
      </c>
      <c r="W189" s="1">
        <v>1.55</v>
      </c>
      <c r="X189" s="1">
        <v>1.61</v>
      </c>
      <c r="Y189" s="1">
        <v>1.63</v>
      </c>
      <c r="Z189" s="1">
        <v>2.42</v>
      </c>
      <c r="AA189" s="1">
        <v>0.65</v>
      </c>
      <c r="AB189" s="1">
        <v>0.5</v>
      </c>
      <c r="AC189" s="1">
        <v>0.57</v>
      </c>
      <c r="AD189" s="1">
        <v>0.58</v>
      </c>
      <c r="AE189" s="1">
        <v>0.55</v>
      </c>
      <c r="AF189" s="1">
        <v>0.54</v>
      </c>
      <c r="AG189" s="1">
        <v>0.54</v>
      </c>
      <c r="AH189" s="1">
        <v>0.52</v>
      </c>
      <c r="AI189" s="1">
        <v>0.55</v>
      </c>
      <c r="AJ189" s="1">
        <v>0.45</v>
      </c>
      <c r="AK189" s="1">
        <v>0.45</v>
      </c>
      <c r="AL189" s="1">
        <v>0.47</v>
      </c>
      <c r="AM189" s="1">
        <v>0.5</v>
      </c>
      <c r="AN189" s="1">
        <v>0.45</v>
      </c>
      <c r="AO189" s="1">
        <v>0.5</v>
      </c>
      <c r="AP189" s="1">
        <v>0.43</v>
      </c>
      <c r="AQ189" s="1">
        <v>0.48</v>
      </c>
      <c r="AR189" s="1">
        <v>0.42</v>
      </c>
      <c r="AS189" s="1">
        <v>0.4</v>
      </c>
      <c r="AT189" s="1">
        <v>0.47</v>
      </c>
      <c r="AU189" s="1">
        <v>0.5</v>
      </c>
      <c r="AV189" s="1">
        <v>0.44</v>
      </c>
      <c r="AW189" s="1">
        <v>0.45</v>
      </c>
      <c r="AX189" s="1">
        <v>0.43</v>
      </c>
      <c r="AY189" s="1">
        <v>0.46</v>
      </c>
      <c r="AZ189" s="1">
        <v>0.46</v>
      </c>
      <c r="BA189" s="1">
        <v>0.46</v>
      </c>
      <c r="BB189" s="1">
        <v>0.44</v>
      </c>
      <c r="BC189" s="1">
        <v>0.45</v>
      </c>
      <c r="BD189" s="1">
        <v>0.38</v>
      </c>
      <c r="BE189" s="1">
        <v>0.44</v>
      </c>
      <c r="BF189" s="1">
        <v>0.41</v>
      </c>
      <c r="BG189" s="1">
        <v>0.4</v>
      </c>
      <c r="BH189" s="1">
        <v>0.35</v>
      </c>
      <c r="BI189" s="1">
        <v>0.37</v>
      </c>
      <c r="BJ189" s="1">
        <v>0.39</v>
      </c>
    </row>
    <row r="190" spans="1:62">
      <c r="B190" s="1" t="s">
        <v>10</v>
      </c>
      <c r="C190" s="1">
        <v>0.26</v>
      </c>
      <c r="D190" s="1">
        <v>0.15</v>
      </c>
      <c r="E190" s="1">
        <v>0.11</v>
      </c>
      <c r="F190" s="1">
        <v>0.1</v>
      </c>
      <c r="G190" s="1">
        <v>0.13</v>
      </c>
      <c r="I190" s="1">
        <v>1.5</v>
      </c>
      <c r="K190" s="1">
        <v>0.26</v>
      </c>
      <c r="L190" s="1">
        <v>0.24</v>
      </c>
      <c r="M190" s="1">
        <v>0.18</v>
      </c>
      <c r="N190" s="1">
        <v>0.23</v>
      </c>
      <c r="O190" s="1">
        <v>0.59</v>
      </c>
      <c r="P190" s="1">
        <v>0.26</v>
      </c>
      <c r="Q190" s="1">
        <v>0.25</v>
      </c>
      <c r="R190" s="1">
        <v>0.39</v>
      </c>
      <c r="S190" s="1">
        <v>0.84</v>
      </c>
      <c r="T190" s="1">
        <v>0.26</v>
      </c>
      <c r="U190" s="1">
        <v>0.27</v>
      </c>
      <c r="V190" s="1">
        <v>0.22</v>
      </c>
      <c r="W190" s="1">
        <v>0.67</v>
      </c>
      <c r="X190" s="1">
        <v>0.28</v>
      </c>
      <c r="Y190" s="1">
        <v>0.4</v>
      </c>
      <c r="Z190" s="1">
        <v>0.41</v>
      </c>
      <c r="AA190" s="1">
        <v>0.83</v>
      </c>
      <c r="AB190" s="1">
        <v>0.26</v>
      </c>
      <c r="AC190" s="1">
        <v>0.21</v>
      </c>
      <c r="AD190" s="1">
        <v>0.22</v>
      </c>
      <c r="AE190" s="1">
        <v>0.23</v>
      </c>
      <c r="AF190" s="1">
        <v>0.31</v>
      </c>
      <c r="AG190" s="1">
        <v>0.28</v>
      </c>
      <c r="AH190" s="1">
        <v>0.22</v>
      </c>
      <c r="AI190" s="1">
        <v>0.31</v>
      </c>
      <c r="AJ190" s="1">
        <v>0.22</v>
      </c>
      <c r="AK190" s="1">
        <v>0.25</v>
      </c>
      <c r="AL190" s="1">
        <v>0.21</v>
      </c>
      <c r="AM190" s="1">
        <v>0.21</v>
      </c>
      <c r="AN190" s="1">
        <v>0.21</v>
      </c>
      <c r="AO190" s="1">
        <v>0.24</v>
      </c>
      <c r="AP190" s="1">
        <v>0.22</v>
      </c>
      <c r="AQ190" s="1">
        <v>0.22</v>
      </c>
      <c r="AR190" s="1">
        <v>0.22</v>
      </c>
      <c r="AS190" s="1">
        <v>0.22</v>
      </c>
      <c r="AT190" s="1">
        <v>0.25</v>
      </c>
      <c r="AU190" s="1">
        <v>0.21</v>
      </c>
      <c r="AV190" s="1">
        <v>0.23</v>
      </c>
      <c r="AW190" s="1">
        <v>0.22</v>
      </c>
      <c r="AX190" s="1">
        <v>0.21</v>
      </c>
      <c r="AY190" s="1">
        <v>0.22</v>
      </c>
      <c r="AZ190" s="1">
        <v>0.25</v>
      </c>
      <c r="BA190" s="1">
        <v>0.3</v>
      </c>
      <c r="BB190" s="1">
        <v>0.22</v>
      </c>
      <c r="BC190" s="1">
        <v>0.26</v>
      </c>
      <c r="BD190" s="1">
        <v>0.29</v>
      </c>
      <c r="BE190" s="1">
        <v>0.31</v>
      </c>
      <c r="BF190" s="1">
        <v>0.21</v>
      </c>
      <c r="BG190" s="1">
        <v>0.23</v>
      </c>
      <c r="BH190" s="1">
        <v>0.23</v>
      </c>
      <c r="BI190" s="1">
        <v>0.21</v>
      </c>
      <c r="BJ190" s="1">
        <v>0.38</v>
      </c>
    </row>
    <row r="191" spans="1:62">
      <c r="B191" s="1" t="s">
        <v>11</v>
      </c>
      <c r="C191" s="1">
        <v>0.07</v>
      </c>
      <c r="D191" s="1">
        <v>0.07</v>
      </c>
      <c r="E191" s="1">
        <v>0.05</v>
      </c>
      <c r="F191" s="1">
        <v>0.06</v>
      </c>
      <c r="G191" s="1">
        <v>0.06</v>
      </c>
      <c r="I191" s="1">
        <v>0.07</v>
      </c>
      <c r="K191" s="1">
        <v>0.06</v>
      </c>
      <c r="L191" s="1">
        <v>0.08</v>
      </c>
      <c r="M191" s="1">
        <v>0.06</v>
      </c>
      <c r="N191" s="1">
        <v>0.06</v>
      </c>
      <c r="O191" s="1">
        <v>0.07</v>
      </c>
      <c r="P191" s="1">
        <v>0.07</v>
      </c>
      <c r="Q191" s="1">
        <v>0.07</v>
      </c>
      <c r="R191" s="1">
        <v>0.07</v>
      </c>
      <c r="S191" s="1">
        <v>0.07</v>
      </c>
      <c r="T191" s="1">
        <v>0.09</v>
      </c>
      <c r="U191" s="1">
        <v>0.06</v>
      </c>
      <c r="V191" s="1">
        <v>0.06</v>
      </c>
      <c r="W191" s="1">
        <v>0.06</v>
      </c>
      <c r="X191" s="1">
        <v>0.08</v>
      </c>
      <c r="Y191" s="1">
        <v>0.07</v>
      </c>
      <c r="Z191" s="1">
        <v>0.06</v>
      </c>
      <c r="AA191" s="1">
        <v>0.07</v>
      </c>
      <c r="AB191" s="1">
        <v>0.09</v>
      </c>
      <c r="AC191" s="1">
        <v>0.07</v>
      </c>
      <c r="AD191" s="1">
        <v>0.07</v>
      </c>
      <c r="AE191" s="1">
        <v>0.09</v>
      </c>
      <c r="AF191" s="1">
        <v>0.07</v>
      </c>
      <c r="AG191" s="1">
        <v>0.06</v>
      </c>
      <c r="AH191" s="1">
        <v>0.07</v>
      </c>
      <c r="AI191" s="1">
        <v>0.06</v>
      </c>
      <c r="AJ191" s="1">
        <v>0.07</v>
      </c>
      <c r="AK191" s="1">
        <v>0.07</v>
      </c>
      <c r="AL191" s="1">
        <v>0.07</v>
      </c>
      <c r="AM191" s="1">
        <v>0.09</v>
      </c>
      <c r="AN191" s="1">
        <v>0.07</v>
      </c>
      <c r="AO191" s="1">
        <v>0.07</v>
      </c>
      <c r="AP191" s="1">
        <v>0.08</v>
      </c>
      <c r="AQ191" s="1">
        <v>0.06</v>
      </c>
      <c r="AR191" s="1">
        <v>0.07</v>
      </c>
      <c r="AS191" s="1">
        <v>0.06</v>
      </c>
      <c r="AT191" s="1">
        <v>0.07</v>
      </c>
      <c r="AU191" s="1">
        <v>0.08</v>
      </c>
      <c r="AV191" s="1">
        <v>0.07</v>
      </c>
      <c r="AW191" s="1">
        <v>0.06</v>
      </c>
      <c r="AX191" s="1">
        <v>0.06</v>
      </c>
      <c r="AY191" s="1">
        <v>0.06</v>
      </c>
      <c r="AZ191" s="1">
        <v>0.06</v>
      </c>
      <c r="BA191" s="1">
        <v>0.06</v>
      </c>
      <c r="BB191" s="1">
        <v>0.06</v>
      </c>
      <c r="BC191" s="1">
        <v>0.07</v>
      </c>
      <c r="BD191" s="1">
        <v>0.07</v>
      </c>
      <c r="BE191" s="1">
        <v>0.06</v>
      </c>
      <c r="BF191" s="1">
        <v>0.06</v>
      </c>
      <c r="BG191" s="1">
        <v>0.06</v>
      </c>
      <c r="BH191" s="1">
        <v>0.06</v>
      </c>
      <c r="BI191" s="1">
        <v>0.07</v>
      </c>
      <c r="BJ191" s="1">
        <v>0.06</v>
      </c>
    </row>
    <row r="192" spans="1:62">
      <c r="A192" s="1" t="s">
        <v>12</v>
      </c>
      <c r="C192" s="1" t="s">
        <v>13</v>
      </c>
      <c r="D192" s="1" t="s">
        <v>260</v>
      </c>
      <c r="E192" s="1" t="s">
        <v>261</v>
      </c>
      <c r="F192" s="1" t="s">
        <v>319</v>
      </c>
      <c r="G192" s="1" t="s">
        <v>320</v>
      </c>
      <c r="H192" s="1" t="s">
        <v>321</v>
      </c>
      <c r="I192" s="1" t="s">
        <v>136</v>
      </c>
      <c r="K192" s="1" t="s">
        <v>322</v>
      </c>
      <c r="L192" s="1" t="s">
        <v>323</v>
      </c>
      <c r="M192" s="1" t="s">
        <v>323</v>
      </c>
      <c r="N192" s="1" t="s">
        <v>323</v>
      </c>
      <c r="O192" s="1" t="s">
        <v>323</v>
      </c>
      <c r="P192" s="1" t="s">
        <v>324</v>
      </c>
      <c r="Q192" s="1" t="s">
        <v>324</v>
      </c>
      <c r="R192" s="1" t="s">
        <v>325</v>
      </c>
      <c r="S192" s="1" t="s">
        <v>326</v>
      </c>
      <c r="T192" s="1" t="s">
        <v>327</v>
      </c>
      <c r="U192" s="1" t="s">
        <v>328</v>
      </c>
      <c r="V192" s="1" t="s">
        <v>328</v>
      </c>
      <c r="W192" s="1" t="s">
        <v>329</v>
      </c>
      <c r="X192" s="1" t="s">
        <v>330</v>
      </c>
      <c r="Y192" s="1" t="s">
        <v>330</v>
      </c>
      <c r="Z192" s="1" t="s">
        <v>331</v>
      </c>
      <c r="AA192" s="1" t="s">
        <v>332</v>
      </c>
      <c r="AB192" s="1" t="s">
        <v>333</v>
      </c>
      <c r="AC192" s="1" t="s">
        <v>333</v>
      </c>
      <c r="AD192" s="1" t="s">
        <v>333</v>
      </c>
      <c r="AE192" s="1" t="s">
        <v>333</v>
      </c>
      <c r="AF192" s="1" t="s">
        <v>333</v>
      </c>
      <c r="AG192" s="1" t="s">
        <v>333</v>
      </c>
      <c r="AH192" s="1" t="s">
        <v>333</v>
      </c>
      <c r="AI192" s="1" t="s">
        <v>333</v>
      </c>
      <c r="AJ192" s="1" t="s">
        <v>333</v>
      </c>
      <c r="AK192" s="1" t="s">
        <v>333</v>
      </c>
      <c r="AL192" s="1" t="s">
        <v>333</v>
      </c>
      <c r="AM192" s="1" t="s">
        <v>333</v>
      </c>
      <c r="AN192" s="1" t="s">
        <v>333</v>
      </c>
      <c r="AO192" s="1" t="s">
        <v>333</v>
      </c>
      <c r="AP192" s="1" t="s">
        <v>333</v>
      </c>
      <c r="AQ192" s="1" t="s">
        <v>333</v>
      </c>
      <c r="AR192" s="1" t="s">
        <v>333</v>
      </c>
      <c r="AS192" s="1" t="s">
        <v>333</v>
      </c>
      <c r="AT192" s="1" t="s">
        <v>333</v>
      </c>
      <c r="AU192" s="1" t="s">
        <v>333</v>
      </c>
      <c r="AV192" s="1" t="s">
        <v>333</v>
      </c>
      <c r="AW192" s="1" t="s">
        <v>333</v>
      </c>
      <c r="AX192" s="1" t="s">
        <v>333</v>
      </c>
      <c r="AY192" s="1" t="s">
        <v>333</v>
      </c>
      <c r="AZ192" s="1" t="s">
        <v>333</v>
      </c>
      <c r="BA192" s="1" t="s">
        <v>333</v>
      </c>
      <c r="BB192" s="1" t="s">
        <v>333</v>
      </c>
      <c r="BC192" s="1" t="s">
        <v>333</v>
      </c>
      <c r="BD192" s="1" t="s">
        <v>333</v>
      </c>
      <c r="BE192" s="1" t="s">
        <v>333</v>
      </c>
      <c r="BF192" s="1" t="s">
        <v>333</v>
      </c>
      <c r="BG192" s="1" t="s">
        <v>333</v>
      </c>
      <c r="BH192" s="1" t="s">
        <v>333</v>
      </c>
      <c r="BI192" s="1" t="s">
        <v>333</v>
      </c>
      <c r="BJ192" s="1" t="s">
        <v>333</v>
      </c>
    </row>
    <row r="193" spans="1:62">
      <c r="A193" s="1" t="s">
        <v>21</v>
      </c>
      <c r="C193" s="1">
        <v>3.716</v>
      </c>
      <c r="D193" s="1">
        <v>2.934</v>
      </c>
      <c r="E193" s="1">
        <v>0.623</v>
      </c>
      <c r="F193" s="1">
        <v>0.731</v>
      </c>
      <c r="G193" s="1">
        <v>0.919</v>
      </c>
      <c r="H193" s="1">
        <v>8.977</v>
      </c>
      <c r="I193" s="1">
        <v>1.85</v>
      </c>
      <c r="J193" s="1">
        <v>0.238</v>
      </c>
      <c r="K193" s="1">
        <v>3.374</v>
      </c>
      <c r="L193" s="1">
        <v>2.906</v>
      </c>
      <c r="M193" s="1">
        <v>1.828</v>
      </c>
      <c r="N193" s="1">
        <v>2.053</v>
      </c>
      <c r="O193" s="1">
        <v>2.413</v>
      </c>
      <c r="P193" s="1">
        <v>3.002</v>
      </c>
      <c r="Q193" s="1">
        <v>2.391</v>
      </c>
      <c r="R193" s="1">
        <v>2.196</v>
      </c>
      <c r="S193" s="1">
        <v>2.945</v>
      </c>
      <c r="T193" s="1">
        <v>2.043</v>
      </c>
      <c r="U193" s="1">
        <v>1.983</v>
      </c>
      <c r="V193" s="1">
        <v>1.919</v>
      </c>
      <c r="W193" s="1">
        <v>2.395</v>
      </c>
      <c r="X193" s="1">
        <v>2.098</v>
      </c>
      <c r="Y193" s="1">
        <v>2.236</v>
      </c>
      <c r="Z193" s="1">
        <v>2.985</v>
      </c>
      <c r="AA193" s="1">
        <v>1.661</v>
      </c>
      <c r="AB193" s="1">
        <v>0.977</v>
      </c>
      <c r="AC193" s="1">
        <v>0.962</v>
      </c>
      <c r="AD193" s="1">
        <v>0.984</v>
      </c>
      <c r="AE193" s="1">
        <v>0.974</v>
      </c>
      <c r="AF193" s="1">
        <v>1.026</v>
      </c>
      <c r="AG193" s="1">
        <v>1.001</v>
      </c>
      <c r="AH193" s="1">
        <v>0.887</v>
      </c>
      <c r="AI193" s="1">
        <v>1.024</v>
      </c>
      <c r="AJ193" s="1">
        <v>0.913</v>
      </c>
      <c r="AK193" s="1">
        <v>0.865</v>
      </c>
      <c r="AL193" s="1">
        <v>0.854</v>
      </c>
      <c r="AM193" s="1">
        <v>0.974</v>
      </c>
      <c r="AN193" s="1">
        <v>0.841</v>
      </c>
      <c r="AO193" s="1">
        <v>0.916</v>
      </c>
      <c r="AP193" s="1">
        <v>0.818</v>
      </c>
      <c r="AQ193" s="1">
        <v>0.857</v>
      </c>
      <c r="AR193" s="1">
        <v>0.796</v>
      </c>
      <c r="AS193" s="1">
        <v>0.772</v>
      </c>
      <c r="AT193" s="1">
        <v>0.917</v>
      </c>
      <c r="AU193" s="1">
        <v>0.88</v>
      </c>
      <c r="AV193" s="1">
        <v>0.835</v>
      </c>
      <c r="AW193" s="1">
        <v>0.817</v>
      </c>
      <c r="AX193" s="1">
        <v>0.8</v>
      </c>
      <c r="AY193" s="1">
        <v>0.838</v>
      </c>
      <c r="AZ193" s="1">
        <v>0.869</v>
      </c>
      <c r="BA193" s="1">
        <v>0.928</v>
      </c>
      <c r="BB193" s="1">
        <v>0.823</v>
      </c>
      <c r="BC193" s="1">
        <v>0.884</v>
      </c>
      <c r="BD193" s="1">
        <v>0.83</v>
      </c>
      <c r="BE193" s="1">
        <v>0.932</v>
      </c>
      <c r="BF193" s="1">
        <v>0.764</v>
      </c>
      <c r="BG193" s="1">
        <v>0.781</v>
      </c>
      <c r="BH193" s="1">
        <v>0.728</v>
      </c>
      <c r="BI193" s="1">
        <v>0.741</v>
      </c>
      <c r="BJ193" s="1">
        <v>0.978</v>
      </c>
    </row>
    <row r="194" spans="1:62">
      <c r="A194" s="1" t="s">
        <v>22</v>
      </c>
      <c r="C194" s="1">
        <f>C193+D193+E193+F193+G193+H193+I193+J193+K193+L193+M193+N193+O193+P193+Q193+R193+S193+T193+U193+V193+W193+X193+Y193+Z193+AA193+AB193+AC193+AD193+AE193+AF193+AG193+AH193+AI193+AJ193+AK193+AL193+AM193+AN193+AO193+AP193+AQ193+AR193+AS193+AT193+AU193+AV193+AW193+AX193+AY193+AZ193+BA193+BB193+BC193+BD193+BE193+BF193+BG193+BH193+BI193+BJ193</f>
        <v>91.2019999999999</v>
      </c>
    </row>
    <row r="195" spans="1:62">
      <c r="A195" s="1" t="s">
        <v>23</v>
      </c>
      <c r="C195" s="1">
        <v>3817</v>
      </c>
    </row>
    <row r="196" spans="1:62">
      <c r="A196" s="1" t="s">
        <v>24</v>
      </c>
      <c r="C196" s="3">
        <f>C194/C195</f>
        <v>0.0238936337437778</v>
      </c>
    </row>
    <row r="197" spans="1:62">
      <c r="A197" s="1" t="s">
        <v>25</v>
      </c>
      <c r="C197" s="3">
        <f>SUMIF(C186:BJ186,"Young",C193:BJ193)/C195</f>
        <v>0.021479434110558</v>
      </c>
    </row>
    <row r="198" spans="1:62">
      <c r="C198" s="1" t="s">
        <v>334</v>
      </c>
    </row>
    <row r="199" spans="1:62">
      <c r="A199" s="1" t="s">
        <v>2</v>
      </c>
      <c r="C199" s="1">
        <v>0</v>
      </c>
      <c r="D199" s="1">
        <v>1</v>
      </c>
      <c r="E199" s="1">
        <v>2</v>
      </c>
      <c r="F199" s="1">
        <v>3</v>
      </c>
      <c r="G199" s="1">
        <v>4</v>
      </c>
      <c r="H199" s="1">
        <v>5</v>
      </c>
      <c r="I199" s="1">
        <v>6</v>
      </c>
      <c r="J199" s="1">
        <v>7</v>
      </c>
      <c r="K199" s="1">
        <v>8</v>
      </c>
      <c r="L199" s="1">
        <v>9</v>
      </c>
      <c r="M199" s="1">
        <v>10</v>
      </c>
      <c r="N199" s="1">
        <v>11</v>
      </c>
      <c r="O199" s="1">
        <v>12</v>
      </c>
      <c r="P199" s="1">
        <v>13</v>
      </c>
      <c r="Q199" s="1">
        <v>14</v>
      </c>
      <c r="R199" s="1">
        <v>15</v>
      </c>
      <c r="S199" s="1">
        <v>16</v>
      </c>
      <c r="T199" s="1">
        <v>17</v>
      </c>
      <c r="U199" s="1">
        <v>18</v>
      </c>
      <c r="V199" s="1">
        <v>19</v>
      </c>
      <c r="W199" s="1">
        <v>20</v>
      </c>
      <c r="X199" s="1">
        <v>21</v>
      </c>
      <c r="Y199" s="1">
        <v>22</v>
      </c>
      <c r="Z199" s="1">
        <v>23</v>
      </c>
      <c r="AA199" s="1">
        <v>24</v>
      </c>
      <c r="AB199" s="1">
        <v>25</v>
      </c>
      <c r="AC199" s="1">
        <v>26</v>
      </c>
      <c r="AD199" s="1">
        <v>27</v>
      </c>
      <c r="AE199" s="1">
        <v>28</v>
      </c>
      <c r="AF199" s="1">
        <v>29</v>
      </c>
    </row>
    <row r="200" spans="1:62">
      <c r="A200" s="1" t="s">
        <v>3</v>
      </c>
      <c r="C200" s="1" t="s">
        <v>4</v>
      </c>
      <c r="D200" s="1" t="s">
        <v>4</v>
      </c>
      <c r="E200" s="1" t="s">
        <v>5</v>
      </c>
      <c r="F200" s="1" t="s">
        <v>4</v>
      </c>
      <c r="G200" s="1" t="s">
        <v>4</v>
      </c>
      <c r="H200" s="1" t="s">
        <v>4</v>
      </c>
      <c r="I200" s="1" t="s">
        <v>4</v>
      </c>
      <c r="J200" s="1" t="s">
        <v>4</v>
      </c>
      <c r="K200" s="1" t="s">
        <v>4</v>
      </c>
      <c r="L200" s="1" t="s">
        <v>4</v>
      </c>
      <c r="M200" s="1" t="s">
        <v>4</v>
      </c>
      <c r="N200" s="1" t="s">
        <v>4</v>
      </c>
      <c r="O200" s="1" t="s">
        <v>61</v>
      </c>
      <c r="P200" s="1" t="s">
        <v>4</v>
      </c>
      <c r="Q200" s="1" t="s">
        <v>4</v>
      </c>
      <c r="R200" s="1" t="s">
        <v>4</v>
      </c>
      <c r="S200" s="1" t="s">
        <v>61</v>
      </c>
      <c r="T200" s="1" t="s">
        <v>4</v>
      </c>
      <c r="U200" s="1" t="s">
        <v>4</v>
      </c>
      <c r="V200" s="1" t="s">
        <v>4</v>
      </c>
      <c r="W200" s="1" t="s">
        <v>4</v>
      </c>
      <c r="X200" s="1" t="s">
        <v>4</v>
      </c>
      <c r="Y200" s="1" t="s">
        <v>4</v>
      </c>
      <c r="Z200" s="1" t="s">
        <v>4</v>
      </c>
      <c r="AA200" s="1" t="s">
        <v>4</v>
      </c>
      <c r="AB200" s="1" t="s">
        <v>4</v>
      </c>
      <c r="AC200" s="1" t="s">
        <v>4</v>
      </c>
      <c r="AD200" s="1" t="s">
        <v>4</v>
      </c>
      <c r="AE200" s="1" t="s">
        <v>4</v>
      </c>
      <c r="AF200" s="1" t="s">
        <v>4</v>
      </c>
    </row>
    <row r="201" spans="1:62">
      <c r="A201" s="1" t="s">
        <v>6</v>
      </c>
      <c r="B201" s="1" t="s">
        <v>7</v>
      </c>
      <c r="C201" s="1">
        <v>0.05</v>
      </c>
      <c r="D201" s="1">
        <v>0.03</v>
      </c>
      <c r="F201" s="1">
        <v>0.03</v>
      </c>
      <c r="G201" s="1">
        <v>0.03</v>
      </c>
      <c r="H201" s="1">
        <v>0.02</v>
      </c>
      <c r="I201" s="1">
        <v>0.03</v>
      </c>
      <c r="J201" s="1">
        <v>0.03</v>
      </c>
      <c r="K201" s="1">
        <v>0.03</v>
      </c>
      <c r="L201" s="1">
        <v>0.04</v>
      </c>
      <c r="M201" s="1">
        <v>0.03</v>
      </c>
      <c r="N201" s="1">
        <v>0.06</v>
      </c>
      <c r="P201" s="1">
        <v>0.03</v>
      </c>
      <c r="Q201" s="1">
        <v>0.03</v>
      </c>
      <c r="R201" s="1">
        <v>0.19</v>
      </c>
      <c r="T201" s="1">
        <v>0.03</v>
      </c>
      <c r="U201" s="1">
        <v>0.05</v>
      </c>
      <c r="V201" s="1">
        <v>0.03</v>
      </c>
      <c r="W201" s="1">
        <v>0.08</v>
      </c>
      <c r="X201" s="1">
        <v>0.06</v>
      </c>
      <c r="Y201" s="1">
        <v>0.04</v>
      </c>
      <c r="Z201" s="1">
        <v>0.03</v>
      </c>
      <c r="AA201" s="1">
        <v>0.05</v>
      </c>
      <c r="AB201" s="1">
        <v>0.05</v>
      </c>
      <c r="AC201" s="1">
        <v>0.07</v>
      </c>
      <c r="AD201" s="1">
        <v>0.06</v>
      </c>
      <c r="AE201" s="1">
        <v>0.06</v>
      </c>
      <c r="AF201" s="1">
        <v>0.06</v>
      </c>
    </row>
    <row r="202" spans="1:62">
      <c r="B202" s="1" t="s">
        <v>8</v>
      </c>
      <c r="C202" s="1">
        <v>0.17</v>
      </c>
      <c r="D202" s="1">
        <v>0.02</v>
      </c>
      <c r="F202" s="1">
        <v>0.04</v>
      </c>
      <c r="G202" s="1">
        <v>0.03</v>
      </c>
      <c r="H202" s="1">
        <v>0.03</v>
      </c>
      <c r="I202" s="1">
        <v>0.08</v>
      </c>
      <c r="J202" s="1">
        <v>0.02</v>
      </c>
      <c r="K202" s="1">
        <v>0.03</v>
      </c>
      <c r="L202" s="1">
        <v>0.03</v>
      </c>
      <c r="M202" s="1">
        <v>0.03</v>
      </c>
      <c r="N202" s="1">
        <v>0.08</v>
      </c>
      <c r="P202" s="1">
        <v>0.15</v>
      </c>
      <c r="Q202" s="1">
        <v>0.15</v>
      </c>
      <c r="R202" s="1">
        <v>0.32</v>
      </c>
      <c r="T202" s="1">
        <v>0.07</v>
      </c>
      <c r="U202" s="1">
        <v>0.07</v>
      </c>
      <c r="V202" s="1">
        <v>0.13</v>
      </c>
      <c r="W202" s="1">
        <v>0.14</v>
      </c>
      <c r="X202" s="1">
        <v>0.13</v>
      </c>
      <c r="Y202" s="1">
        <v>0.1</v>
      </c>
      <c r="Z202" s="1">
        <v>0.15</v>
      </c>
      <c r="AA202" s="1">
        <v>0.19</v>
      </c>
      <c r="AB202" s="1">
        <v>0.16</v>
      </c>
      <c r="AC202" s="1">
        <v>0.26</v>
      </c>
      <c r="AD202" s="1">
        <v>0.16</v>
      </c>
      <c r="AE202" s="1">
        <v>0.28</v>
      </c>
      <c r="AF202" s="1">
        <v>0.24</v>
      </c>
    </row>
    <row r="203" spans="1:62">
      <c r="B203" s="1" t="s">
        <v>9</v>
      </c>
      <c r="C203" s="1">
        <v>3.97</v>
      </c>
      <c r="D203" s="1">
        <v>2.63</v>
      </c>
      <c r="F203" s="1">
        <v>0.99</v>
      </c>
      <c r="G203" s="1">
        <v>1.44</v>
      </c>
      <c r="H203" s="1">
        <v>1.6</v>
      </c>
      <c r="I203" s="1">
        <v>1.54</v>
      </c>
      <c r="J203" s="1">
        <v>1.17</v>
      </c>
      <c r="K203" s="1">
        <v>1.92</v>
      </c>
      <c r="L203" s="1">
        <v>1.95</v>
      </c>
      <c r="M203" s="1">
        <v>29.33</v>
      </c>
      <c r="N203" s="1">
        <v>22.15</v>
      </c>
      <c r="P203" s="1">
        <v>31.23</v>
      </c>
      <c r="Q203" s="1">
        <v>18.84</v>
      </c>
      <c r="R203" s="1">
        <v>19.41</v>
      </c>
      <c r="T203" s="1">
        <v>20.87</v>
      </c>
      <c r="U203" s="1">
        <v>14.97</v>
      </c>
      <c r="V203" s="1">
        <v>13.62</v>
      </c>
      <c r="W203" s="1">
        <v>43.66</v>
      </c>
      <c r="X203" s="1">
        <v>56.59</v>
      </c>
      <c r="Y203" s="1">
        <v>38.4</v>
      </c>
      <c r="Z203" s="1">
        <v>32.4</v>
      </c>
      <c r="AA203" s="1">
        <v>70.57</v>
      </c>
      <c r="AB203" s="1">
        <v>72.43</v>
      </c>
      <c r="AC203" s="1">
        <v>112.66</v>
      </c>
      <c r="AD203" s="1">
        <v>86.23</v>
      </c>
      <c r="AE203" s="1">
        <v>96.43</v>
      </c>
      <c r="AF203" s="1">
        <v>93.1</v>
      </c>
    </row>
    <row r="204" spans="1:62">
      <c r="B204" s="1" t="s">
        <v>10</v>
      </c>
      <c r="C204" s="1">
        <v>0.21</v>
      </c>
      <c r="D204" s="1">
        <v>0.15</v>
      </c>
      <c r="F204" s="1">
        <v>0.12</v>
      </c>
      <c r="G204" s="1">
        <v>0.16</v>
      </c>
      <c r="H204" s="1">
        <v>0.16</v>
      </c>
      <c r="I204" s="1">
        <v>0.65</v>
      </c>
      <c r="J204" s="1">
        <v>0.19</v>
      </c>
      <c r="K204" s="1">
        <v>0.18</v>
      </c>
      <c r="L204" s="1">
        <v>0.18</v>
      </c>
      <c r="M204" s="1">
        <v>0.32</v>
      </c>
      <c r="N204" s="1">
        <v>1.01</v>
      </c>
      <c r="P204" s="1">
        <v>0.36</v>
      </c>
      <c r="Q204" s="1">
        <v>0.33</v>
      </c>
      <c r="R204" s="1">
        <v>0.23</v>
      </c>
      <c r="T204" s="1">
        <v>0.29</v>
      </c>
      <c r="U204" s="1">
        <v>0.29</v>
      </c>
      <c r="V204" s="1">
        <v>1.66</v>
      </c>
      <c r="W204" s="1">
        <v>0.38</v>
      </c>
      <c r="X204" s="1">
        <v>0.36</v>
      </c>
      <c r="Y204" s="1">
        <v>0.47</v>
      </c>
      <c r="Z204" s="1">
        <v>3.38</v>
      </c>
      <c r="AA204" s="1">
        <v>0.66</v>
      </c>
      <c r="AB204" s="1">
        <v>0.62</v>
      </c>
      <c r="AC204" s="1">
        <v>0.75</v>
      </c>
      <c r="AD204" s="1">
        <v>5.42</v>
      </c>
      <c r="AE204" s="1">
        <v>0.68</v>
      </c>
      <c r="AF204" s="1">
        <v>0.58</v>
      </c>
    </row>
    <row r="205" spans="1:62">
      <c r="B205" s="1" t="s">
        <v>11</v>
      </c>
      <c r="C205" s="1">
        <v>0.06</v>
      </c>
      <c r="D205" s="1">
        <v>0.07</v>
      </c>
      <c r="F205" s="1">
        <v>0.07</v>
      </c>
      <c r="G205" s="1">
        <v>0.07</v>
      </c>
      <c r="H205" s="1">
        <v>0.07</v>
      </c>
      <c r="I205" s="1">
        <v>0.09</v>
      </c>
      <c r="J205" s="1">
        <v>0.06</v>
      </c>
      <c r="K205" s="1">
        <v>0.07</v>
      </c>
      <c r="L205" s="1">
        <v>0.06</v>
      </c>
      <c r="M205" s="1">
        <v>0.1</v>
      </c>
      <c r="N205" s="1">
        <v>0.14</v>
      </c>
      <c r="P205" s="1">
        <v>0.08</v>
      </c>
      <c r="Q205" s="1">
        <v>0.07</v>
      </c>
      <c r="R205" s="1">
        <v>0.27</v>
      </c>
      <c r="T205" s="1">
        <v>0.09</v>
      </c>
      <c r="U205" s="1">
        <v>0.08</v>
      </c>
      <c r="V205" s="1">
        <v>0.09</v>
      </c>
      <c r="W205" s="1">
        <v>0.12</v>
      </c>
      <c r="X205" s="1">
        <v>0.09</v>
      </c>
      <c r="Y205" s="1">
        <v>0.09</v>
      </c>
      <c r="Z205" s="1">
        <v>0.07</v>
      </c>
      <c r="AA205" s="1">
        <v>0.11</v>
      </c>
      <c r="AB205" s="1">
        <v>0.1</v>
      </c>
      <c r="AC205" s="1">
        <v>0.12</v>
      </c>
      <c r="AD205" s="1">
        <v>0.11</v>
      </c>
      <c r="AE205" s="1">
        <v>0.11</v>
      </c>
      <c r="AF205" s="1">
        <v>0.08</v>
      </c>
    </row>
    <row r="206" spans="1:62">
      <c r="A206" s="1" t="s">
        <v>12</v>
      </c>
      <c r="C206" s="1" t="s">
        <v>13</v>
      </c>
      <c r="D206" s="1" t="s">
        <v>260</v>
      </c>
      <c r="E206" s="1" t="s">
        <v>335</v>
      </c>
      <c r="F206" s="1" t="s">
        <v>16</v>
      </c>
      <c r="G206" s="1" t="s">
        <v>43</v>
      </c>
      <c r="H206" s="1" t="s">
        <v>17</v>
      </c>
      <c r="I206" s="1" t="s">
        <v>44</v>
      </c>
      <c r="J206" s="1" t="s">
        <v>336</v>
      </c>
      <c r="K206" s="1" t="s">
        <v>337</v>
      </c>
      <c r="L206" s="1" t="s">
        <v>337</v>
      </c>
      <c r="M206" s="1" t="s">
        <v>338</v>
      </c>
      <c r="N206" s="1" t="s">
        <v>339</v>
      </c>
      <c r="O206" s="1" t="s">
        <v>340</v>
      </c>
      <c r="P206" s="1" t="s">
        <v>341</v>
      </c>
      <c r="Q206" s="1" t="s">
        <v>342</v>
      </c>
      <c r="R206" s="1" t="s">
        <v>343</v>
      </c>
      <c r="S206" s="1" t="s">
        <v>344</v>
      </c>
      <c r="T206" s="1" t="s">
        <v>345</v>
      </c>
      <c r="U206" s="1" t="s">
        <v>346</v>
      </c>
      <c r="V206" s="1" t="s">
        <v>347</v>
      </c>
      <c r="W206" s="1" t="s">
        <v>348</v>
      </c>
      <c r="X206" s="1" t="s">
        <v>349</v>
      </c>
      <c r="Y206" s="1" t="s">
        <v>350</v>
      </c>
      <c r="Z206" s="1" t="s">
        <v>351</v>
      </c>
      <c r="AA206" s="1" t="s">
        <v>352</v>
      </c>
      <c r="AB206" s="1" t="s">
        <v>353</v>
      </c>
      <c r="AC206" s="1" t="s">
        <v>354</v>
      </c>
      <c r="AD206" s="1" t="s">
        <v>355</v>
      </c>
      <c r="AE206" s="1" t="s">
        <v>356</v>
      </c>
      <c r="AF206" s="1" t="s">
        <v>357</v>
      </c>
    </row>
    <row r="207" spans="1:62">
      <c r="A207" s="1" t="s">
        <v>21</v>
      </c>
      <c r="C207" s="1">
        <v>4.526</v>
      </c>
      <c r="D207" s="1">
        <v>2.959</v>
      </c>
      <c r="E207" s="1">
        <v>8.652</v>
      </c>
      <c r="F207" s="1">
        <v>1.281</v>
      </c>
      <c r="G207" s="1">
        <v>1.786</v>
      </c>
      <c r="H207" s="1">
        <v>1.946</v>
      </c>
      <c r="I207" s="1">
        <v>2.447</v>
      </c>
      <c r="J207" s="1">
        <v>1.529</v>
      </c>
      <c r="K207" s="1">
        <v>2.298</v>
      </c>
      <c r="L207" s="1">
        <v>2.291</v>
      </c>
      <c r="M207" s="1">
        <v>29.86</v>
      </c>
      <c r="N207" s="1">
        <v>23.538</v>
      </c>
      <c r="O207" s="1">
        <v>29.243</v>
      </c>
      <c r="P207" s="1">
        <v>31.906</v>
      </c>
      <c r="Q207" s="1">
        <v>19.49</v>
      </c>
      <c r="R207" s="1">
        <v>20.436</v>
      </c>
      <c r="S207" s="1">
        <v>94.666</v>
      </c>
      <c r="T207" s="1">
        <v>21.418</v>
      </c>
      <c r="U207" s="1">
        <v>15.545</v>
      </c>
      <c r="V207" s="1">
        <v>15.608</v>
      </c>
      <c r="W207" s="1">
        <v>44.483</v>
      </c>
      <c r="X207" s="1">
        <v>57.28</v>
      </c>
      <c r="Y207" s="1">
        <v>39.188</v>
      </c>
      <c r="Z207" s="1">
        <v>36.092</v>
      </c>
      <c r="AA207" s="1">
        <v>71.624</v>
      </c>
      <c r="AB207" s="1">
        <v>73.445</v>
      </c>
      <c r="AC207" s="1">
        <v>113.965</v>
      </c>
      <c r="AD207" s="1">
        <v>92.029</v>
      </c>
      <c r="AE207" s="1">
        <v>97.651</v>
      </c>
      <c r="AF207" s="1">
        <v>94.161</v>
      </c>
    </row>
    <row r="208" spans="1:62">
      <c r="A208" s="1" t="s">
        <v>22</v>
      </c>
      <c r="C208" s="1">
        <f>C207+D207+E207+F207+G207+H207+I207+J207+K207+L207+M207+N207+O207+P207+Q207+R207+S207+T207+U207+V207+W207+X207+Y207+Z207+AA207+AB207+AC207+AD207+AE207+AF207</f>
        <v>1051.343</v>
      </c>
    </row>
    <row r="209" spans="1:49">
      <c r="A209" s="1" t="s">
        <v>23</v>
      </c>
      <c r="C209" s="1">
        <v>4349</v>
      </c>
    </row>
    <row r="210" spans="1:49">
      <c r="A210" s="1" t="s">
        <v>24</v>
      </c>
      <c r="C210" s="3">
        <f>C208/C209</f>
        <v>0.24174361922281</v>
      </c>
    </row>
    <row r="211" spans="1:49">
      <c r="A211" s="1" t="s">
        <v>25</v>
      </c>
      <c r="C211" s="3">
        <f>SUMIF(C200:AF200,"Young",C207:AF207)/C209</f>
        <v>0.211262819038859</v>
      </c>
    </row>
    <row r="212" spans="1:49">
      <c r="C212" s="1" t="s">
        <v>358</v>
      </c>
    </row>
    <row r="213" spans="1:49">
      <c r="A213" s="1" t="s">
        <v>2</v>
      </c>
      <c r="C213" s="1">
        <v>0</v>
      </c>
      <c r="D213" s="1">
        <v>1</v>
      </c>
      <c r="E213" s="1">
        <v>2</v>
      </c>
      <c r="F213" s="1">
        <v>3</v>
      </c>
      <c r="G213" s="1">
        <v>4</v>
      </c>
      <c r="H213" s="1">
        <v>5</v>
      </c>
      <c r="I213" s="1">
        <v>6</v>
      </c>
      <c r="J213" s="1">
        <v>7</v>
      </c>
      <c r="K213" s="1">
        <v>8</v>
      </c>
      <c r="L213" s="1">
        <v>9</v>
      </c>
      <c r="M213" s="1">
        <v>10</v>
      </c>
      <c r="N213" s="1">
        <v>11</v>
      </c>
      <c r="O213" s="1">
        <v>12</v>
      </c>
      <c r="P213" s="1">
        <v>13</v>
      </c>
      <c r="Q213" s="1">
        <v>14</v>
      </c>
      <c r="R213" s="1">
        <v>15</v>
      </c>
      <c r="S213" s="1">
        <v>16</v>
      </c>
      <c r="T213" s="1">
        <v>17</v>
      </c>
      <c r="U213" s="1">
        <v>18</v>
      </c>
      <c r="V213" s="1">
        <v>19</v>
      </c>
      <c r="W213" s="1">
        <v>20</v>
      </c>
      <c r="X213" s="1">
        <v>21</v>
      </c>
      <c r="Y213" s="1">
        <v>22</v>
      </c>
      <c r="Z213" s="1">
        <v>23</v>
      </c>
      <c r="AA213" s="1">
        <v>24</v>
      </c>
      <c r="AB213" s="1">
        <v>25</v>
      </c>
      <c r="AC213" s="1">
        <v>26</v>
      </c>
      <c r="AD213" s="1">
        <v>27</v>
      </c>
      <c r="AE213" s="1">
        <v>28</v>
      </c>
      <c r="AF213" s="1">
        <v>29</v>
      </c>
      <c r="AG213" s="1">
        <v>30</v>
      </c>
      <c r="AH213" s="1">
        <v>31</v>
      </c>
      <c r="AI213" s="1">
        <v>32</v>
      </c>
      <c r="AJ213" s="1">
        <v>33</v>
      </c>
      <c r="AK213" s="1">
        <v>34</v>
      </c>
      <c r="AL213" s="1">
        <v>35</v>
      </c>
      <c r="AM213" s="1">
        <v>36</v>
      </c>
      <c r="AN213" s="1">
        <v>37</v>
      </c>
      <c r="AO213" s="1">
        <v>38</v>
      </c>
      <c r="AP213" s="1">
        <v>39</v>
      </c>
      <c r="AQ213" s="1">
        <v>40</v>
      </c>
      <c r="AR213" s="1">
        <v>41</v>
      </c>
      <c r="AS213" s="1">
        <v>42</v>
      </c>
      <c r="AT213" s="1">
        <v>43</v>
      </c>
      <c r="AU213" s="1">
        <v>44</v>
      </c>
      <c r="AV213" s="1">
        <v>45</v>
      </c>
      <c r="AW213" s="1">
        <v>46</v>
      </c>
    </row>
    <row r="214" spans="1:49">
      <c r="A214" s="1" t="s">
        <v>3</v>
      </c>
      <c r="C214" s="1" t="s">
        <v>4</v>
      </c>
      <c r="D214" s="1" t="s">
        <v>4</v>
      </c>
      <c r="E214" s="1" t="s">
        <v>4</v>
      </c>
      <c r="F214" s="1" t="s">
        <v>4</v>
      </c>
      <c r="G214" s="1" t="s">
        <v>4</v>
      </c>
      <c r="H214" s="1" t="s">
        <v>4</v>
      </c>
      <c r="I214" s="1" t="s">
        <v>4</v>
      </c>
      <c r="J214" s="1" t="s">
        <v>61</v>
      </c>
      <c r="K214" s="1" t="s">
        <v>4</v>
      </c>
      <c r="L214" s="1" t="s">
        <v>4</v>
      </c>
      <c r="M214" s="1" t="s">
        <v>4</v>
      </c>
      <c r="N214" s="1" t="s">
        <v>4</v>
      </c>
      <c r="O214" s="1" t="s">
        <v>4</v>
      </c>
      <c r="P214" s="1" t="s">
        <v>61</v>
      </c>
      <c r="Q214" s="1" t="s">
        <v>4</v>
      </c>
      <c r="R214" s="1" t="s">
        <v>4</v>
      </c>
      <c r="S214" s="1" t="s">
        <v>4</v>
      </c>
      <c r="T214" s="1" t="s">
        <v>4</v>
      </c>
      <c r="U214" s="1" t="s">
        <v>4</v>
      </c>
      <c r="V214" s="1" t="s">
        <v>4</v>
      </c>
      <c r="W214" s="1" t="s">
        <v>4</v>
      </c>
      <c r="X214" s="1" t="s">
        <v>61</v>
      </c>
      <c r="Y214" s="1" t="s">
        <v>4</v>
      </c>
      <c r="Z214" s="1" t="s">
        <v>61</v>
      </c>
      <c r="AA214" s="1" t="s">
        <v>4</v>
      </c>
      <c r="AB214" s="1" t="s">
        <v>4</v>
      </c>
      <c r="AC214" s="1" t="s">
        <v>4</v>
      </c>
      <c r="AD214" s="1" t="s">
        <v>5</v>
      </c>
      <c r="AE214" s="1" t="s">
        <v>4</v>
      </c>
      <c r="AF214" s="1" t="s">
        <v>4</v>
      </c>
      <c r="AG214" s="1" t="s">
        <v>4</v>
      </c>
      <c r="AH214" s="1" t="s">
        <v>4</v>
      </c>
      <c r="AI214" s="1" t="s">
        <v>4</v>
      </c>
      <c r="AJ214" s="1" t="s">
        <v>4</v>
      </c>
      <c r="AK214" s="1" t="s">
        <v>4</v>
      </c>
      <c r="AL214" s="1" t="s">
        <v>4</v>
      </c>
      <c r="AM214" s="1" t="s">
        <v>4</v>
      </c>
      <c r="AN214" s="1" t="s">
        <v>4</v>
      </c>
      <c r="AO214" s="1" t="s">
        <v>4</v>
      </c>
      <c r="AP214" s="1" t="s">
        <v>4</v>
      </c>
      <c r="AQ214" s="1" t="s">
        <v>4</v>
      </c>
      <c r="AR214" s="1" t="s">
        <v>4</v>
      </c>
      <c r="AS214" s="1" t="s">
        <v>4</v>
      </c>
      <c r="AT214" s="1" t="s">
        <v>4</v>
      </c>
      <c r="AU214" s="1" t="s">
        <v>4</v>
      </c>
      <c r="AV214" s="1" t="s">
        <v>4</v>
      </c>
      <c r="AW214" s="1" t="s">
        <v>4</v>
      </c>
    </row>
    <row r="215" spans="1:49">
      <c r="A215" s="1" t="s">
        <v>6</v>
      </c>
      <c r="B215" s="1" t="s">
        <v>7</v>
      </c>
      <c r="C215" s="1">
        <v>0.04</v>
      </c>
      <c r="D215" s="1">
        <v>0.03</v>
      </c>
      <c r="E215" s="1">
        <v>0.04</v>
      </c>
      <c r="F215" s="1">
        <v>0.02</v>
      </c>
      <c r="G215" s="1">
        <v>0.05</v>
      </c>
      <c r="H215" s="1">
        <v>0.07</v>
      </c>
      <c r="I215" s="1">
        <v>0.06</v>
      </c>
      <c r="K215" s="1">
        <v>0.04</v>
      </c>
      <c r="L215" s="1">
        <v>0.03</v>
      </c>
      <c r="M215" s="1">
        <v>0.07</v>
      </c>
      <c r="N215" s="1">
        <v>0.03</v>
      </c>
      <c r="O215" s="1">
        <v>0.08</v>
      </c>
      <c r="Q215" s="1">
        <v>0.04</v>
      </c>
      <c r="R215" s="1">
        <v>0.04</v>
      </c>
      <c r="S215" s="1">
        <v>0.04</v>
      </c>
      <c r="T215" s="1">
        <v>0.05</v>
      </c>
      <c r="U215" s="1">
        <v>0.16</v>
      </c>
      <c r="V215" s="1">
        <v>0.03</v>
      </c>
      <c r="W215" s="1">
        <v>0.09</v>
      </c>
      <c r="Y215" s="1">
        <v>0.06</v>
      </c>
      <c r="AA215" s="1">
        <v>0.05</v>
      </c>
      <c r="AB215" s="1">
        <v>0.04</v>
      </c>
      <c r="AC215" s="1">
        <v>0.05</v>
      </c>
      <c r="AE215" s="1">
        <v>0.08</v>
      </c>
      <c r="AF215" s="1">
        <v>0.05</v>
      </c>
      <c r="AG215" s="1">
        <v>0.07</v>
      </c>
      <c r="AH215" s="1">
        <v>0.08</v>
      </c>
      <c r="AI215" s="1">
        <v>0.05</v>
      </c>
      <c r="AJ215" s="1">
        <v>0.03</v>
      </c>
      <c r="AK215" s="1">
        <v>0.05</v>
      </c>
      <c r="AL215" s="1">
        <v>0.07</v>
      </c>
      <c r="AM215" s="1">
        <v>0.05</v>
      </c>
      <c r="AN215" s="1">
        <v>0.05</v>
      </c>
      <c r="AO215" s="1">
        <v>0.07</v>
      </c>
      <c r="AP215" s="1">
        <v>0.04</v>
      </c>
      <c r="AQ215" s="1">
        <v>0.5</v>
      </c>
      <c r="AR215" s="1">
        <v>0.76</v>
      </c>
      <c r="AS215" s="1">
        <v>0.05</v>
      </c>
      <c r="AT215" s="1">
        <v>0.06</v>
      </c>
      <c r="AU215" s="1">
        <v>0.05</v>
      </c>
      <c r="AV215" s="1">
        <v>0.07</v>
      </c>
      <c r="AW215" s="1">
        <v>0.07</v>
      </c>
    </row>
    <row r="216" spans="1:49">
      <c r="B216" s="1" t="s">
        <v>8</v>
      </c>
      <c r="C216" s="1">
        <v>0.12</v>
      </c>
      <c r="D216" s="1">
        <v>0.03</v>
      </c>
      <c r="E216" s="1">
        <v>0.03</v>
      </c>
      <c r="F216" s="1">
        <v>0.03</v>
      </c>
      <c r="G216" s="1">
        <v>0.05</v>
      </c>
      <c r="H216" s="1">
        <v>0.03</v>
      </c>
      <c r="I216" s="1">
        <v>0.05</v>
      </c>
      <c r="K216" s="1">
        <v>0.03</v>
      </c>
      <c r="L216" s="1">
        <v>0.03</v>
      </c>
      <c r="M216" s="1">
        <v>0.07</v>
      </c>
      <c r="N216" s="1">
        <v>0.04</v>
      </c>
      <c r="O216" s="1">
        <v>0.05</v>
      </c>
      <c r="Q216" s="1">
        <v>0.05</v>
      </c>
      <c r="R216" s="1">
        <v>0.04</v>
      </c>
      <c r="S216" s="1">
        <v>0.17</v>
      </c>
      <c r="T216" s="1">
        <v>0.08</v>
      </c>
      <c r="U216" s="1">
        <v>0.32</v>
      </c>
      <c r="V216" s="1">
        <v>0.05</v>
      </c>
      <c r="W216" s="1">
        <v>0.17</v>
      </c>
      <c r="Y216" s="1">
        <v>0.09</v>
      </c>
      <c r="AA216" s="1">
        <v>0.12</v>
      </c>
      <c r="AB216" s="1">
        <v>0.08</v>
      </c>
      <c r="AC216" s="1">
        <v>0.14</v>
      </c>
      <c r="AE216" s="1">
        <v>0.07</v>
      </c>
      <c r="AF216" s="1">
        <v>0.11</v>
      </c>
      <c r="AG216" s="1">
        <v>0.09</v>
      </c>
      <c r="AH216" s="1">
        <v>0.08</v>
      </c>
      <c r="AI216" s="1">
        <v>0.07</v>
      </c>
      <c r="AJ216" s="1">
        <v>0.07</v>
      </c>
      <c r="AK216" s="1">
        <v>0.1</v>
      </c>
      <c r="AL216" s="1">
        <v>0.15</v>
      </c>
      <c r="AM216" s="1">
        <v>0.07</v>
      </c>
      <c r="AN216" s="1">
        <v>0.08</v>
      </c>
      <c r="AO216" s="1">
        <v>0.1</v>
      </c>
      <c r="AP216" s="1">
        <v>0.06</v>
      </c>
      <c r="AQ216" s="1">
        <v>0.09</v>
      </c>
      <c r="AR216" s="1">
        <v>0.09</v>
      </c>
      <c r="AS216" s="1">
        <v>0.07</v>
      </c>
      <c r="AT216" s="1">
        <v>0.07</v>
      </c>
      <c r="AU216" s="1">
        <v>0.08</v>
      </c>
      <c r="AV216" s="1">
        <v>0.07</v>
      </c>
      <c r="AW216" s="1">
        <v>0.06</v>
      </c>
    </row>
    <row r="217" spans="1:49">
      <c r="B217" s="1" t="s">
        <v>9</v>
      </c>
      <c r="C217" s="1">
        <v>5.87</v>
      </c>
      <c r="D217" s="1">
        <v>5.26</v>
      </c>
      <c r="E217" s="1">
        <v>1.91</v>
      </c>
      <c r="F217" s="1">
        <v>2.1</v>
      </c>
      <c r="G217" s="1">
        <v>4.54</v>
      </c>
      <c r="H217" s="1">
        <v>3.18</v>
      </c>
      <c r="I217" s="1">
        <v>3.73</v>
      </c>
      <c r="K217" s="1">
        <v>5.16</v>
      </c>
      <c r="L217" s="1">
        <v>4.94</v>
      </c>
      <c r="M217" s="1">
        <v>7.06</v>
      </c>
      <c r="N217" s="1">
        <v>9.01</v>
      </c>
      <c r="O217" s="1">
        <v>10.86</v>
      </c>
      <c r="Q217" s="1">
        <v>11.4</v>
      </c>
      <c r="R217" s="1">
        <v>10.4</v>
      </c>
      <c r="S217" s="1">
        <v>9.54</v>
      </c>
      <c r="T217" s="1">
        <v>19.61</v>
      </c>
      <c r="U217" s="1">
        <v>16.1</v>
      </c>
      <c r="V217" s="1">
        <v>13.63</v>
      </c>
      <c r="W217" s="1">
        <v>16.72</v>
      </c>
      <c r="Y217" s="1">
        <v>10.86</v>
      </c>
      <c r="AA217" s="1">
        <v>16.86</v>
      </c>
      <c r="AB217" s="1">
        <v>25.45</v>
      </c>
      <c r="AC217" s="1">
        <v>18.12</v>
      </c>
      <c r="AE217" s="1">
        <v>7.86</v>
      </c>
      <c r="AF217" s="1">
        <v>10.09</v>
      </c>
      <c r="AG217" s="1">
        <v>9.58</v>
      </c>
      <c r="AH217" s="1">
        <v>9.09</v>
      </c>
      <c r="AI217" s="1">
        <v>9.62</v>
      </c>
      <c r="AJ217" s="1">
        <v>9.47</v>
      </c>
      <c r="AK217" s="1">
        <v>9.86</v>
      </c>
      <c r="AL217" s="1">
        <v>10.93</v>
      </c>
      <c r="AM217" s="1">
        <v>11.11</v>
      </c>
      <c r="AN217" s="1">
        <v>11.13</v>
      </c>
      <c r="AO217" s="1">
        <v>11.95</v>
      </c>
      <c r="AP217" s="1">
        <v>11.79</v>
      </c>
      <c r="AQ217" s="1">
        <v>12.38</v>
      </c>
      <c r="AR217" s="1">
        <v>12.01</v>
      </c>
      <c r="AS217" s="1">
        <v>11.75</v>
      </c>
      <c r="AT217" s="1">
        <v>11.68</v>
      </c>
      <c r="AU217" s="1">
        <v>10.16</v>
      </c>
      <c r="AV217" s="1">
        <v>6.56</v>
      </c>
      <c r="AW217" s="1">
        <v>6.51</v>
      </c>
    </row>
    <row r="218" spans="1:49">
      <c r="B218" s="1" t="s">
        <v>10</v>
      </c>
      <c r="C218" s="1">
        <v>0.27</v>
      </c>
      <c r="D218" s="1">
        <v>0.31</v>
      </c>
      <c r="E218" s="1">
        <v>0.17</v>
      </c>
      <c r="F218" s="1">
        <v>0.22</v>
      </c>
      <c r="G218" s="1">
        <v>0.83</v>
      </c>
      <c r="H218" s="1">
        <v>0.25</v>
      </c>
      <c r="I218" s="1">
        <v>0.27</v>
      </c>
      <c r="K218" s="1">
        <v>0.28</v>
      </c>
      <c r="L218" s="1">
        <v>0.67</v>
      </c>
      <c r="M218" s="1">
        <v>0.34</v>
      </c>
      <c r="N218" s="1">
        <v>0.57</v>
      </c>
      <c r="O218" s="1">
        <v>0.43</v>
      </c>
      <c r="Q218" s="1">
        <v>0.62</v>
      </c>
      <c r="R218" s="1">
        <v>0.92</v>
      </c>
      <c r="S218" s="1">
        <v>0.54</v>
      </c>
      <c r="T218" s="1">
        <v>0.88</v>
      </c>
      <c r="U218" s="1">
        <v>0.55</v>
      </c>
      <c r="V218" s="1">
        <v>1.06</v>
      </c>
      <c r="W218" s="1">
        <v>0.74</v>
      </c>
      <c r="Y218" s="1">
        <v>0.75</v>
      </c>
      <c r="AA218" s="1">
        <v>1.02</v>
      </c>
      <c r="AB218" s="1">
        <v>0.92</v>
      </c>
      <c r="AC218" s="1">
        <v>0.8</v>
      </c>
      <c r="AE218" s="1">
        <v>1.46</v>
      </c>
      <c r="AF218" s="1">
        <v>0.75</v>
      </c>
      <c r="AG218" s="1">
        <v>0.76</v>
      </c>
      <c r="AH218" s="1">
        <v>0.76</v>
      </c>
      <c r="AI218" s="1">
        <v>1.27</v>
      </c>
      <c r="AJ218" s="1">
        <v>0.79</v>
      </c>
      <c r="AK218" s="1">
        <v>0.83</v>
      </c>
      <c r="AL218" s="1">
        <v>1</v>
      </c>
      <c r="AM218" s="1">
        <v>1.95</v>
      </c>
      <c r="AN218" s="1">
        <v>1.03</v>
      </c>
      <c r="AO218" s="1">
        <v>1.04</v>
      </c>
      <c r="AP218" s="1">
        <v>0.89</v>
      </c>
      <c r="AQ218" s="1">
        <v>1.9</v>
      </c>
      <c r="AR218" s="1">
        <v>1.02</v>
      </c>
      <c r="AS218" s="1">
        <v>0.88</v>
      </c>
      <c r="AT218" s="1">
        <v>1.06</v>
      </c>
      <c r="AU218" s="1">
        <v>1.53</v>
      </c>
      <c r="AV218" s="1">
        <v>0.87</v>
      </c>
      <c r="AW218" s="1">
        <v>0.85</v>
      </c>
    </row>
    <row r="219" spans="1:49">
      <c r="B219" s="1" t="s">
        <v>11</v>
      </c>
      <c r="C219" s="1">
        <v>0.08</v>
      </c>
      <c r="D219" s="1">
        <v>0.08</v>
      </c>
      <c r="E219" s="1">
        <v>0.07</v>
      </c>
      <c r="F219" s="1">
        <v>0.07</v>
      </c>
      <c r="G219" s="1">
        <v>0.1</v>
      </c>
      <c r="H219" s="1">
        <v>0.08</v>
      </c>
      <c r="I219" s="1">
        <v>0.11</v>
      </c>
      <c r="K219" s="1">
        <v>0.08</v>
      </c>
      <c r="L219" s="1">
        <v>0.07</v>
      </c>
      <c r="M219" s="1">
        <v>0.1</v>
      </c>
      <c r="N219" s="1">
        <v>0.08</v>
      </c>
      <c r="O219" s="1">
        <v>0.09</v>
      </c>
      <c r="Q219" s="1">
        <v>0.09</v>
      </c>
      <c r="R219" s="1">
        <v>0.09</v>
      </c>
      <c r="S219" s="1">
        <v>0.09</v>
      </c>
      <c r="T219" s="1">
        <v>0.1</v>
      </c>
      <c r="U219" s="1">
        <v>0.29</v>
      </c>
      <c r="V219" s="1">
        <v>0.11</v>
      </c>
      <c r="W219" s="1">
        <v>0.14</v>
      </c>
      <c r="Y219" s="1">
        <v>0.08</v>
      </c>
      <c r="AA219" s="1">
        <v>0.08</v>
      </c>
      <c r="AB219" s="1">
        <v>0.09</v>
      </c>
      <c r="AC219" s="1">
        <v>0.11</v>
      </c>
      <c r="AE219" s="1">
        <v>0.1</v>
      </c>
      <c r="AF219" s="1">
        <v>0.09</v>
      </c>
      <c r="AG219" s="1">
        <v>0.1</v>
      </c>
      <c r="AH219" s="1">
        <v>0.1</v>
      </c>
      <c r="AI219" s="1">
        <v>0.1</v>
      </c>
      <c r="AJ219" s="1">
        <v>0.1</v>
      </c>
      <c r="AK219" s="1">
        <v>0.11</v>
      </c>
      <c r="AL219" s="1">
        <v>0.1</v>
      </c>
      <c r="AM219" s="1">
        <v>0.11</v>
      </c>
      <c r="AN219" s="1">
        <v>0.13</v>
      </c>
      <c r="AO219" s="1">
        <v>0.11</v>
      </c>
      <c r="AP219" s="1">
        <v>0.1</v>
      </c>
      <c r="AQ219" s="1">
        <v>0.11</v>
      </c>
      <c r="AR219" s="1">
        <v>0.13</v>
      </c>
      <c r="AS219" s="1">
        <v>0.1</v>
      </c>
      <c r="AT219" s="1">
        <v>0.12</v>
      </c>
      <c r="AU219" s="1">
        <v>0.11</v>
      </c>
      <c r="AV219" s="1">
        <v>0.13</v>
      </c>
      <c r="AW219" s="1">
        <v>0.13</v>
      </c>
    </row>
    <row r="220" spans="1:49">
      <c r="A220" s="1" t="s">
        <v>12</v>
      </c>
      <c r="C220" s="1" t="s">
        <v>359</v>
      </c>
      <c r="D220" s="1" t="s">
        <v>101</v>
      </c>
      <c r="E220" s="1" t="s">
        <v>360</v>
      </c>
      <c r="F220" s="1" t="s">
        <v>360</v>
      </c>
      <c r="G220" s="1" t="s">
        <v>258</v>
      </c>
      <c r="H220" s="1" t="s">
        <v>361</v>
      </c>
      <c r="I220" s="1" t="s">
        <v>362</v>
      </c>
      <c r="J220" s="1" t="s">
        <v>363</v>
      </c>
      <c r="K220" s="1" t="s">
        <v>364</v>
      </c>
      <c r="L220" s="1" t="s">
        <v>365</v>
      </c>
      <c r="M220" s="1" t="s">
        <v>366</v>
      </c>
      <c r="N220" s="1" t="s">
        <v>367</v>
      </c>
      <c r="O220" s="1" t="s">
        <v>368</v>
      </c>
      <c r="P220" s="1" t="s">
        <v>72</v>
      </c>
      <c r="Q220" s="1" t="s">
        <v>369</v>
      </c>
      <c r="R220" s="1" t="s">
        <v>370</v>
      </c>
      <c r="S220" s="1" t="s">
        <v>371</v>
      </c>
      <c r="T220" s="1" t="s">
        <v>372</v>
      </c>
      <c r="U220" s="1" t="s">
        <v>373</v>
      </c>
      <c r="V220" s="1" t="s">
        <v>374</v>
      </c>
      <c r="W220" s="1" t="s">
        <v>375</v>
      </c>
      <c r="X220" s="1" t="s">
        <v>376</v>
      </c>
      <c r="Y220" s="1" t="s">
        <v>377</v>
      </c>
      <c r="Z220" s="1" t="s">
        <v>378</v>
      </c>
      <c r="AA220" s="1" t="s">
        <v>379</v>
      </c>
      <c r="AB220" s="1" t="s">
        <v>380</v>
      </c>
      <c r="AC220" s="1" t="s">
        <v>381</v>
      </c>
      <c r="AD220" s="1" t="s">
        <v>382</v>
      </c>
      <c r="AE220" s="1" t="s">
        <v>383</v>
      </c>
      <c r="AF220" s="1" t="s">
        <v>384</v>
      </c>
      <c r="AG220" s="1" t="s">
        <v>385</v>
      </c>
      <c r="AH220" s="1" t="s">
        <v>386</v>
      </c>
      <c r="AI220" s="1" t="s">
        <v>387</v>
      </c>
      <c r="AJ220" s="1" t="s">
        <v>388</v>
      </c>
      <c r="AK220" s="1" t="s">
        <v>388</v>
      </c>
      <c r="AL220" s="1" t="s">
        <v>388</v>
      </c>
      <c r="AM220" s="1" t="s">
        <v>388</v>
      </c>
      <c r="AN220" s="1" t="s">
        <v>389</v>
      </c>
      <c r="AO220" s="1" t="s">
        <v>389</v>
      </c>
      <c r="AP220" s="1" t="s">
        <v>389</v>
      </c>
      <c r="AQ220" s="1" t="s">
        <v>389</v>
      </c>
      <c r="AR220" s="1" t="s">
        <v>390</v>
      </c>
      <c r="AS220" s="1" t="s">
        <v>390</v>
      </c>
      <c r="AT220" s="1" t="s">
        <v>390</v>
      </c>
      <c r="AU220" s="1" t="s">
        <v>391</v>
      </c>
      <c r="AV220" s="1" t="s">
        <v>392</v>
      </c>
      <c r="AW220" s="1" t="s">
        <v>392</v>
      </c>
    </row>
    <row r="221" spans="1:49">
      <c r="A221" s="1" t="s">
        <v>21</v>
      </c>
      <c r="C221" s="1">
        <v>6.446</v>
      </c>
      <c r="D221" s="1">
        <v>5.793</v>
      </c>
      <c r="E221" s="1">
        <v>2.276</v>
      </c>
      <c r="F221" s="1">
        <v>2.499</v>
      </c>
      <c r="G221" s="1">
        <v>5.609</v>
      </c>
      <c r="H221" s="1">
        <v>3.668</v>
      </c>
      <c r="I221" s="1">
        <v>4.265</v>
      </c>
      <c r="J221" s="1">
        <v>9.543</v>
      </c>
      <c r="K221" s="1">
        <v>5.667</v>
      </c>
      <c r="L221" s="1">
        <v>5.79</v>
      </c>
      <c r="M221" s="1">
        <v>7.726</v>
      </c>
      <c r="N221" s="1">
        <v>9.834</v>
      </c>
      <c r="O221" s="1">
        <v>11.576</v>
      </c>
      <c r="P221" s="1">
        <v>17.146</v>
      </c>
      <c r="Q221" s="1">
        <v>12.285</v>
      </c>
      <c r="R221" s="1">
        <v>11.566</v>
      </c>
      <c r="S221" s="1">
        <v>10.45</v>
      </c>
      <c r="T221" s="1">
        <v>20.806</v>
      </c>
      <c r="U221" s="1">
        <v>17.469</v>
      </c>
      <c r="V221" s="1">
        <v>14.929</v>
      </c>
      <c r="W221" s="1">
        <v>17.962</v>
      </c>
      <c r="X221" s="1">
        <v>36.936</v>
      </c>
      <c r="Y221" s="1">
        <v>11.944</v>
      </c>
      <c r="Z221" s="1">
        <v>55.137</v>
      </c>
      <c r="AA221" s="1">
        <v>18.187</v>
      </c>
      <c r="AB221" s="1">
        <v>26.675</v>
      </c>
      <c r="AC221" s="1">
        <v>19.307</v>
      </c>
      <c r="AD221" s="1">
        <v>71.465</v>
      </c>
      <c r="AE221" s="1">
        <v>9.607</v>
      </c>
      <c r="AF221" s="1">
        <v>11.166</v>
      </c>
      <c r="AG221" s="1">
        <v>10.686</v>
      </c>
      <c r="AH221" s="1">
        <v>10.222</v>
      </c>
      <c r="AI221" s="1">
        <v>11.164</v>
      </c>
      <c r="AJ221" s="1">
        <v>10.509</v>
      </c>
      <c r="AK221" s="1">
        <v>11.01</v>
      </c>
      <c r="AL221" s="1">
        <v>12.307</v>
      </c>
      <c r="AM221" s="1">
        <v>13.334</v>
      </c>
      <c r="AN221" s="1">
        <v>12.497</v>
      </c>
      <c r="AO221" s="1">
        <v>13.318</v>
      </c>
      <c r="AP221" s="1">
        <v>12.938</v>
      </c>
      <c r="AQ221" s="1">
        <v>15.016</v>
      </c>
      <c r="AR221" s="1">
        <v>14.067</v>
      </c>
      <c r="AS221" s="1">
        <v>12.933</v>
      </c>
      <c r="AT221" s="1">
        <v>13.094</v>
      </c>
      <c r="AU221" s="1">
        <v>12.01</v>
      </c>
      <c r="AV221" s="1">
        <v>7.78</v>
      </c>
      <c r="AW221" s="1">
        <v>7.719</v>
      </c>
    </row>
    <row r="222" spans="1:49">
      <c r="A222" s="1" t="s">
        <v>22</v>
      </c>
      <c r="C222" s="1">
        <f>C221+D221+E221+F221+G221+H221+I221+J221+K221+L221+M221+N221+O221+P221+Q221+R221+S221+T221+U221+V221+W221+X221+Y221+Z221+AA221+AB221+AC221+AD221+AE221+AF221+AG221+AH221+AI221+AJ221+AK221+AL221+AM221+AN221+AO221+AP221+AQ221+AR221+AS221+AT221+AU221+AV221+AW221</f>
        <v>664.333</v>
      </c>
    </row>
    <row r="223" spans="1:49">
      <c r="A223" s="1" t="s">
        <v>23</v>
      </c>
      <c r="C223" s="1">
        <v>4572</v>
      </c>
    </row>
    <row r="224" spans="1:49">
      <c r="A224" s="1" t="s">
        <v>24</v>
      </c>
      <c r="C224" s="3">
        <f>C222/C223</f>
        <v>0.145304680664917</v>
      </c>
    </row>
    <row r="225" spans="1:31">
      <c r="A225" s="1" t="s">
        <v>25</v>
      </c>
      <c r="C225" s="3">
        <f>SUMIF(C214:AW214,"Young",C221:AW221)/C223</f>
        <v>0.103697725284339</v>
      </c>
    </row>
    <row r="226" spans="1:31">
      <c r="C226" s="1" t="s">
        <v>393</v>
      </c>
    </row>
    <row r="227" spans="1:31">
      <c r="A227" s="1" t="s">
        <v>2</v>
      </c>
      <c r="C227" s="1">
        <v>0</v>
      </c>
      <c r="D227" s="1">
        <v>1</v>
      </c>
      <c r="E227" s="1">
        <v>2</v>
      </c>
      <c r="F227" s="1">
        <v>3</v>
      </c>
      <c r="G227" s="1">
        <v>4</v>
      </c>
      <c r="H227" s="1">
        <v>5</v>
      </c>
      <c r="I227" s="1">
        <v>6</v>
      </c>
      <c r="J227" s="1">
        <v>7</v>
      </c>
      <c r="K227" s="1">
        <v>8</v>
      </c>
      <c r="L227" s="1">
        <v>9</v>
      </c>
      <c r="M227" s="1">
        <v>10</v>
      </c>
      <c r="N227" s="1">
        <v>11</v>
      </c>
      <c r="O227" s="1">
        <v>12</v>
      </c>
      <c r="P227" s="1">
        <v>13</v>
      </c>
      <c r="Q227" s="1">
        <v>14</v>
      </c>
      <c r="R227" s="1">
        <v>15</v>
      </c>
      <c r="S227" s="1">
        <v>16</v>
      </c>
      <c r="T227" s="1">
        <v>17</v>
      </c>
      <c r="U227" s="1">
        <v>18</v>
      </c>
      <c r="V227" s="1">
        <v>19</v>
      </c>
      <c r="W227" s="1">
        <v>20</v>
      </c>
      <c r="X227" s="1">
        <v>21</v>
      </c>
      <c r="Y227" s="1">
        <v>22</v>
      </c>
      <c r="Z227" s="1">
        <v>23</v>
      </c>
      <c r="AA227" s="1">
        <v>24</v>
      </c>
      <c r="AB227" s="1">
        <v>25</v>
      </c>
      <c r="AC227" s="1">
        <v>26</v>
      </c>
      <c r="AD227" s="1">
        <v>27</v>
      </c>
      <c r="AE227" s="1">
        <v>28</v>
      </c>
    </row>
    <row r="228" spans="1:31">
      <c r="A228" s="1" t="s">
        <v>3</v>
      </c>
      <c r="C228" s="1" t="s">
        <v>4</v>
      </c>
      <c r="D228" s="1" t="s">
        <v>5</v>
      </c>
      <c r="E228" s="1" t="s">
        <v>4</v>
      </c>
      <c r="F228" s="1" t="s">
        <v>4</v>
      </c>
      <c r="G228" s="1" t="s">
        <v>4</v>
      </c>
      <c r="H228" s="1" t="s">
        <v>4</v>
      </c>
      <c r="I228" s="1" t="s">
        <v>4</v>
      </c>
      <c r="J228" s="1" t="s">
        <v>4</v>
      </c>
      <c r="K228" s="1" t="s">
        <v>4</v>
      </c>
      <c r="L228" s="1" t="s">
        <v>4</v>
      </c>
      <c r="M228" s="1" t="s">
        <v>4</v>
      </c>
      <c r="N228" s="1" t="s">
        <v>4</v>
      </c>
      <c r="O228" s="1" t="s">
        <v>4</v>
      </c>
      <c r="P228" s="1" t="s">
        <v>4</v>
      </c>
      <c r="Q228" s="1" t="s">
        <v>4</v>
      </c>
      <c r="R228" s="1" t="s">
        <v>4</v>
      </c>
      <c r="S228" s="1" t="s">
        <v>4</v>
      </c>
      <c r="T228" s="1" t="s">
        <v>4</v>
      </c>
      <c r="U228" s="1" t="s">
        <v>4</v>
      </c>
      <c r="V228" s="1" t="s">
        <v>4</v>
      </c>
      <c r="W228" s="1" t="s">
        <v>4</v>
      </c>
      <c r="X228" s="1" t="s">
        <v>4</v>
      </c>
      <c r="Y228" s="1" t="s">
        <v>4</v>
      </c>
      <c r="Z228" s="1" t="s">
        <v>4</v>
      </c>
      <c r="AA228" s="1" t="s">
        <v>4</v>
      </c>
      <c r="AB228" s="1" t="s">
        <v>4</v>
      </c>
      <c r="AC228" s="1" t="s">
        <v>4</v>
      </c>
      <c r="AD228" s="1" t="s">
        <v>4</v>
      </c>
      <c r="AE228" s="1" t="s">
        <v>4</v>
      </c>
    </row>
    <row r="229" spans="1:31">
      <c r="A229" s="1" t="s">
        <v>6</v>
      </c>
      <c r="B229" s="1" t="s">
        <v>7</v>
      </c>
      <c r="C229" s="1">
        <v>0.06</v>
      </c>
      <c r="E229" s="1">
        <v>0.03</v>
      </c>
      <c r="F229" s="1">
        <v>0.03</v>
      </c>
      <c r="G229" s="1">
        <v>0.03</v>
      </c>
      <c r="H229" s="1">
        <v>0.02</v>
      </c>
      <c r="I229" s="1">
        <v>0.03</v>
      </c>
      <c r="J229" s="1">
        <v>0.03</v>
      </c>
      <c r="K229" s="1">
        <v>0.03</v>
      </c>
      <c r="L229" s="1">
        <v>0.03</v>
      </c>
      <c r="M229" s="1">
        <v>0.07</v>
      </c>
      <c r="N229" s="1">
        <v>0.06</v>
      </c>
      <c r="O229" s="1">
        <v>0.05</v>
      </c>
      <c r="P229" s="1">
        <v>0.04</v>
      </c>
      <c r="Q229" s="1">
        <v>0.07</v>
      </c>
      <c r="R229" s="1">
        <v>0.06</v>
      </c>
      <c r="S229" s="1">
        <v>0.04</v>
      </c>
      <c r="T229" s="1">
        <v>0.04</v>
      </c>
      <c r="U229" s="1">
        <v>0.05</v>
      </c>
      <c r="V229" s="1">
        <v>0.05</v>
      </c>
      <c r="W229" s="1">
        <v>0.04</v>
      </c>
      <c r="X229" s="1">
        <v>0.06</v>
      </c>
      <c r="Y229" s="1">
        <v>0.06</v>
      </c>
      <c r="Z229" s="1">
        <v>0.07</v>
      </c>
      <c r="AA229" s="1">
        <v>0.06</v>
      </c>
      <c r="AB229" s="1">
        <v>0.04</v>
      </c>
      <c r="AC229" s="1">
        <v>0.09</v>
      </c>
      <c r="AD229" s="1">
        <v>0.04</v>
      </c>
      <c r="AE229" s="1">
        <v>0.03</v>
      </c>
    </row>
    <row r="230" spans="1:31">
      <c r="B230" s="1" t="s">
        <v>8</v>
      </c>
      <c r="C230" s="1">
        <v>0.22</v>
      </c>
      <c r="E230" s="1">
        <v>0.03</v>
      </c>
      <c r="F230" s="1">
        <v>0.03</v>
      </c>
      <c r="G230" s="1">
        <v>0.05</v>
      </c>
      <c r="H230" s="1">
        <v>0.02</v>
      </c>
      <c r="I230" s="1">
        <v>0.04</v>
      </c>
      <c r="J230" s="1">
        <v>0.07</v>
      </c>
      <c r="K230" s="1">
        <v>0.19</v>
      </c>
      <c r="L230" s="1">
        <v>0.06</v>
      </c>
      <c r="M230" s="1">
        <v>0.11</v>
      </c>
      <c r="N230" s="1">
        <v>0.08</v>
      </c>
      <c r="O230" s="1">
        <v>0.06</v>
      </c>
      <c r="P230" s="1">
        <v>0.06</v>
      </c>
      <c r="Q230" s="1">
        <v>0.07</v>
      </c>
      <c r="R230" s="1">
        <v>0.06</v>
      </c>
      <c r="S230" s="1">
        <v>0.06</v>
      </c>
      <c r="T230" s="1">
        <v>0.06</v>
      </c>
      <c r="U230" s="1">
        <v>0.08</v>
      </c>
      <c r="V230" s="1">
        <v>0.06</v>
      </c>
      <c r="W230" s="1">
        <v>0.06</v>
      </c>
      <c r="X230" s="1">
        <v>0.28</v>
      </c>
      <c r="Y230" s="1">
        <v>0.08</v>
      </c>
      <c r="Z230" s="1">
        <v>0.11</v>
      </c>
      <c r="AA230" s="1">
        <v>0.08</v>
      </c>
      <c r="AB230" s="1">
        <v>0.07</v>
      </c>
      <c r="AC230" s="1">
        <v>0.08</v>
      </c>
      <c r="AD230" s="1">
        <v>0.03</v>
      </c>
      <c r="AE230" s="1">
        <v>0.03</v>
      </c>
    </row>
    <row r="231" spans="1:31">
      <c r="B231" s="1" t="s">
        <v>9</v>
      </c>
      <c r="C231" s="1">
        <v>3.88</v>
      </c>
      <c r="E231" s="1">
        <v>3.05</v>
      </c>
      <c r="F231" s="1">
        <v>1.97</v>
      </c>
      <c r="G231" s="1">
        <v>5</v>
      </c>
      <c r="H231" s="1">
        <v>3.23</v>
      </c>
      <c r="I231" s="1">
        <v>2.84</v>
      </c>
      <c r="J231" s="1">
        <v>1.75</v>
      </c>
      <c r="K231" s="1">
        <v>9.23</v>
      </c>
      <c r="L231" s="1">
        <v>8.13</v>
      </c>
      <c r="M231" s="1">
        <v>8.92</v>
      </c>
      <c r="N231" s="1">
        <v>10.39</v>
      </c>
      <c r="O231" s="1">
        <v>9.6</v>
      </c>
      <c r="P231" s="1">
        <v>5.86</v>
      </c>
      <c r="Q231" s="1">
        <v>7.23</v>
      </c>
      <c r="R231" s="1">
        <v>5.67</v>
      </c>
      <c r="S231" s="1">
        <v>7.28</v>
      </c>
      <c r="T231" s="1">
        <v>6.47</v>
      </c>
      <c r="U231" s="1">
        <v>7.99</v>
      </c>
      <c r="V231" s="1">
        <v>8.18</v>
      </c>
      <c r="W231" s="1">
        <v>7.12</v>
      </c>
      <c r="X231" s="1">
        <v>7.07</v>
      </c>
      <c r="Y231" s="1">
        <v>7.17</v>
      </c>
      <c r="Z231" s="1">
        <v>7.38</v>
      </c>
      <c r="AA231" s="1">
        <v>8.07</v>
      </c>
      <c r="AB231" s="1">
        <v>7.59</v>
      </c>
      <c r="AC231" s="1">
        <v>5.69</v>
      </c>
      <c r="AD231" s="1">
        <v>4.84</v>
      </c>
      <c r="AE231" s="1">
        <v>2.91</v>
      </c>
    </row>
    <row r="232" spans="1:31">
      <c r="B232" s="1" t="s">
        <v>10</v>
      </c>
      <c r="C232" s="1">
        <v>0.28</v>
      </c>
      <c r="E232" s="1">
        <v>0.18</v>
      </c>
      <c r="F232" s="1">
        <v>0.12</v>
      </c>
      <c r="G232" s="1">
        <v>0.12</v>
      </c>
      <c r="H232" s="1">
        <v>0.4</v>
      </c>
      <c r="I232" s="1">
        <v>0.13</v>
      </c>
      <c r="J232" s="1">
        <v>0.11</v>
      </c>
      <c r="K232" s="1">
        <v>0.24</v>
      </c>
      <c r="L232" s="1">
        <v>1.27</v>
      </c>
      <c r="M232" s="1">
        <v>0.33</v>
      </c>
      <c r="N232" s="1">
        <v>0.16</v>
      </c>
      <c r="O232" s="1">
        <v>0.21</v>
      </c>
      <c r="P232" s="1">
        <v>2.63</v>
      </c>
      <c r="Q232" s="1">
        <v>0.36</v>
      </c>
      <c r="R232" s="1">
        <v>0.25</v>
      </c>
      <c r="S232" s="1">
        <v>0.25</v>
      </c>
      <c r="T232" s="1">
        <v>0.27</v>
      </c>
      <c r="U232" s="1">
        <v>0.8</v>
      </c>
      <c r="V232" s="1">
        <v>0.28</v>
      </c>
      <c r="W232" s="1">
        <v>0.48</v>
      </c>
      <c r="X232" s="1">
        <v>0.42</v>
      </c>
      <c r="Y232" s="1">
        <v>0.45</v>
      </c>
      <c r="Z232" s="1">
        <v>0.48</v>
      </c>
      <c r="AA232" s="1">
        <v>0.29</v>
      </c>
      <c r="AB232" s="1">
        <v>0.89</v>
      </c>
      <c r="AC232" s="1">
        <v>0.51</v>
      </c>
      <c r="AD232" s="1">
        <v>0.33</v>
      </c>
      <c r="AE232" s="1">
        <v>0.28</v>
      </c>
    </row>
    <row r="233" spans="1:31">
      <c r="B233" s="1" t="s">
        <v>11</v>
      </c>
      <c r="C233" s="1">
        <v>0.09</v>
      </c>
      <c r="E233" s="1">
        <v>0.06</v>
      </c>
      <c r="F233" s="1">
        <v>0.08</v>
      </c>
      <c r="G233" s="1">
        <v>0.08</v>
      </c>
      <c r="H233" s="1">
        <v>0.07</v>
      </c>
      <c r="I233" s="1">
        <v>0.07</v>
      </c>
      <c r="J233" s="1">
        <v>0.09</v>
      </c>
      <c r="K233" s="1">
        <v>0.09</v>
      </c>
      <c r="L233" s="1">
        <v>0.09</v>
      </c>
      <c r="M233" s="1">
        <v>0.13</v>
      </c>
      <c r="N233" s="1">
        <v>0.1</v>
      </c>
      <c r="O233" s="1">
        <v>0.11</v>
      </c>
      <c r="P233" s="1">
        <v>0.07</v>
      </c>
      <c r="Q233" s="1">
        <v>0.13</v>
      </c>
      <c r="R233" s="1">
        <v>0.13</v>
      </c>
      <c r="S233" s="1">
        <v>0.08</v>
      </c>
      <c r="T233" s="1">
        <v>0.11</v>
      </c>
      <c r="U233" s="1">
        <v>0.09</v>
      </c>
      <c r="V233" s="1">
        <v>0.13</v>
      </c>
      <c r="W233" s="1">
        <v>0.13</v>
      </c>
      <c r="X233" s="1">
        <v>0.09</v>
      </c>
      <c r="Y233" s="1">
        <v>0.13</v>
      </c>
      <c r="Z233" s="1">
        <v>0.09</v>
      </c>
      <c r="AA233" s="1">
        <v>0.12</v>
      </c>
      <c r="AB233" s="1">
        <v>0.09</v>
      </c>
      <c r="AC233" s="1">
        <v>0.11</v>
      </c>
      <c r="AD233" s="1">
        <v>0.09</v>
      </c>
      <c r="AE233" s="1">
        <v>0.08</v>
      </c>
    </row>
    <row r="234" spans="1:31">
      <c r="A234" s="1" t="s">
        <v>12</v>
      </c>
      <c r="C234" s="1" t="s">
        <v>394</v>
      </c>
      <c r="D234" s="1" t="s">
        <v>395</v>
      </c>
      <c r="E234" s="1" t="s">
        <v>396</v>
      </c>
      <c r="F234" s="1" t="s">
        <v>397</v>
      </c>
      <c r="G234" s="1" t="s">
        <v>398</v>
      </c>
      <c r="H234" s="1" t="s">
        <v>399</v>
      </c>
      <c r="I234" s="1" t="s">
        <v>400</v>
      </c>
      <c r="J234" s="1" t="s">
        <v>401</v>
      </c>
      <c r="K234" s="1" t="s">
        <v>402</v>
      </c>
      <c r="L234" s="1" t="s">
        <v>403</v>
      </c>
      <c r="M234" s="1" t="s">
        <v>404</v>
      </c>
      <c r="N234" s="1" t="s">
        <v>405</v>
      </c>
      <c r="O234" s="1" t="s">
        <v>406</v>
      </c>
      <c r="P234" s="1" t="s">
        <v>406</v>
      </c>
      <c r="Q234" s="1" t="s">
        <v>407</v>
      </c>
      <c r="R234" s="1" t="s">
        <v>407</v>
      </c>
      <c r="S234" s="1" t="s">
        <v>407</v>
      </c>
      <c r="T234" s="1" t="s">
        <v>407</v>
      </c>
      <c r="U234" s="1" t="s">
        <v>407</v>
      </c>
      <c r="V234" s="1" t="s">
        <v>408</v>
      </c>
      <c r="W234" s="1" t="s">
        <v>408</v>
      </c>
      <c r="X234" s="1" t="s">
        <v>408</v>
      </c>
      <c r="Y234" s="1" t="s">
        <v>408</v>
      </c>
      <c r="Z234" s="1" t="s">
        <v>408</v>
      </c>
      <c r="AA234" s="1" t="s">
        <v>409</v>
      </c>
      <c r="AB234" s="1" t="s">
        <v>410</v>
      </c>
      <c r="AC234" s="1" t="s">
        <v>411</v>
      </c>
      <c r="AD234" s="1" t="s">
        <v>411</v>
      </c>
      <c r="AE234" s="1" t="s">
        <v>412</v>
      </c>
    </row>
    <row r="235" spans="1:31">
      <c r="A235" s="1" t="s">
        <v>21</v>
      </c>
      <c r="C235" s="1">
        <v>4.626</v>
      </c>
      <c r="D235" s="1">
        <v>8.544</v>
      </c>
      <c r="E235" s="1">
        <v>3.418</v>
      </c>
      <c r="F235" s="1">
        <v>2.283</v>
      </c>
      <c r="G235" s="1">
        <v>5.356</v>
      </c>
      <c r="H235" s="1">
        <v>3.793</v>
      </c>
      <c r="I235" s="1">
        <v>3.159</v>
      </c>
      <c r="J235" s="1">
        <v>2.092</v>
      </c>
      <c r="K235" s="1">
        <v>9.904</v>
      </c>
      <c r="L235" s="1">
        <v>9.619</v>
      </c>
      <c r="M235" s="1">
        <v>9.659</v>
      </c>
      <c r="N235" s="1">
        <v>10.868</v>
      </c>
      <c r="O235" s="1">
        <v>10.113</v>
      </c>
      <c r="P235" s="1">
        <v>8.702</v>
      </c>
      <c r="Q235" s="1">
        <v>7.962</v>
      </c>
      <c r="R235" s="1">
        <v>6.23</v>
      </c>
      <c r="S235" s="1">
        <v>7.781</v>
      </c>
      <c r="T235" s="1">
        <v>7.025</v>
      </c>
      <c r="U235" s="1">
        <v>9.051</v>
      </c>
      <c r="V235" s="1">
        <v>8.727</v>
      </c>
      <c r="W235" s="1">
        <v>7.911</v>
      </c>
      <c r="X235" s="1">
        <v>7.967</v>
      </c>
      <c r="Y235" s="1">
        <v>7.977</v>
      </c>
      <c r="Z235" s="1">
        <v>8.246</v>
      </c>
      <c r="AA235" s="1">
        <v>8.717</v>
      </c>
      <c r="AB235" s="1">
        <v>8.729</v>
      </c>
      <c r="AC235" s="1">
        <v>6.57</v>
      </c>
      <c r="AD235" s="1">
        <v>5.42</v>
      </c>
      <c r="AE235" s="1">
        <v>3.426</v>
      </c>
    </row>
    <row r="236" spans="1:31">
      <c r="A236" s="1" t="s">
        <v>22</v>
      </c>
      <c r="C236" s="1">
        <f>C235+D235+E235+F235+G235+H235+I235+J235+K235+L235+M235+N235+O235+P235+Q235+R235+S235+T235+U235+V235+W235+X235+Y235+Z235+AA235+AB235+AC235+AD235+AE235</f>
        <v>203.875</v>
      </c>
    </row>
    <row r="237" spans="1:31">
      <c r="A237" s="1" t="s">
        <v>23</v>
      </c>
      <c r="C237" s="1">
        <v>3708</v>
      </c>
    </row>
    <row r="238" spans="1:31">
      <c r="A238" s="1" t="s">
        <v>24</v>
      </c>
      <c r="C238" s="3">
        <f>C236/C237</f>
        <v>0.0549824703344121</v>
      </c>
    </row>
    <row r="239" spans="1:31">
      <c r="A239" s="1" t="s">
        <v>25</v>
      </c>
      <c r="C239" s="3">
        <f>SUMIF(C228:AE228,"Young",C235:AE235)/C237</f>
        <v>0.052678263214671</v>
      </c>
    </row>
    <row r="240" spans="1:31">
      <c r="C240" s="1" t="s">
        <v>413</v>
      </c>
    </row>
    <row r="241" spans="1:42">
      <c r="A241" s="1" t="s">
        <v>2</v>
      </c>
      <c r="C241" s="1">
        <v>0</v>
      </c>
      <c r="D241" s="1">
        <v>1</v>
      </c>
      <c r="E241" s="1">
        <v>2</v>
      </c>
      <c r="F241" s="1">
        <v>3</v>
      </c>
      <c r="G241" s="1">
        <v>4</v>
      </c>
      <c r="H241" s="1">
        <v>5</v>
      </c>
      <c r="I241" s="1">
        <v>6</v>
      </c>
      <c r="J241" s="1">
        <v>7</v>
      </c>
      <c r="K241" s="1">
        <v>8</v>
      </c>
      <c r="L241" s="1">
        <v>9</v>
      </c>
      <c r="M241" s="1">
        <v>10</v>
      </c>
      <c r="N241" s="1">
        <v>11</v>
      </c>
      <c r="O241" s="1">
        <v>12</v>
      </c>
      <c r="P241" s="1">
        <v>13</v>
      </c>
      <c r="Q241" s="1">
        <v>14</v>
      </c>
      <c r="R241" s="1">
        <v>15</v>
      </c>
      <c r="S241" s="1">
        <v>16</v>
      </c>
      <c r="T241" s="1">
        <v>17</v>
      </c>
      <c r="U241" s="1">
        <v>18</v>
      </c>
      <c r="V241" s="1">
        <v>19</v>
      </c>
      <c r="W241" s="1">
        <v>20</v>
      </c>
      <c r="X241" s="1">
        <v>21</v>
      </c>
      <c r="Y241" s="1">
        <v>22</v>
      </c>
      <c r="Z241" s="1">
        <v>23</v>
      </c>
      <c r="AA241" s="1">
        <v>24</v>
      </c>
      <c r="AB241" s="1">
        <v>25</v>
      </c>
      <c r="AC241" s="1">
        <v>26</v>
      </c>
      <c r="AD241" s="1">
        <v>27</v>
      </c>
      <c r="AE241" s="1">
        <v>28</v>
      </c>
      <c r="AF241" s="1">
        <v>29</v>
      </c>
      <c r="AG241" s="1">
        <v>30</v>
      </c>
      <c r="AH241" s="1">
        <v>31</v>
      </c>
      <c r="AI241" s="1">
        <v>32</v>
      </c>
      <c r="AJ241" s="1">
        <v>33</v>
      </c>
      <c r="AK241" s="1">
        <v>34</v>
      </c>
      <c r="AL241" s="1">
        <v>35</v>
      </c>
      <c r="AM241" s="1">
        <v>36</v>
      </c>
      <c r="AN241" s="1">
        <v>37</v>
      </c>
      <c r="AO241" s="1">
        <v>38</v>
      </c>
      <c r="AP241" s="1">
        <v>39</v>
      </c>
    </row>
    <row r="242" spans="1:42">
      <c r="A242" s="1" t="s">
        <v>3</v>
      </c>
      <c r="C242" s="1" t="s">
        <v>4</v>
      </c>
      <c r="D242" s="1" t="s">
        <v>4</v>
      </c>
      <c r="E242" s="1" t="s">
        <v>4</v>
      </c>
      <c r="F242" s="1" t="s">
        <v>4</v>
      </c>
      <c r="G242" s="1" t="s">
        <v>4</v>
      </c>
      <c r="H242" s="1" t="s">
        <v>61</v>
      </c>
      <c r="I242" s="1" t="s">
        <v>4</v>
      </c>
      <c r="J242" s="1" t="s">
        <v>4</v>
      </c>
      <c r="K242" s="1" t="s">
        <v>4</v>
      </c>
      <c r="L242" s="1" t="s">
        <v>5</v>
      </c>
      <c r="M242" s="1" t="s">
        <v>4</v>
      </c>
      <c r="N242" s="1" t="s">
        <v>4</v>
      </c>
      <c r="O242" s="1" t="s">
        <v>4</v>
      </c>
      <c r="P242" s="1" t="s">
        <v>4</v>
      </c>
      <c r="Q242" s="1" t="s">
        <v>61</v>
      </c>
      <c r="R242" s="1" t="s">
        <v>4</v>
      </c>
      <c r="S242" s="1" t="s">
        <v>4</v>
      </c>
      <c r="T242" s="1" t="s">
        <v>4</v>
      </c>
      <c r="U242" s="1" t="s">
        <v>4</v>
      </c>
      <c r="V242" s="1" t="s">
        <v>4</v>
      </c>
      <c r="W242" s="1" t="s">
        <v>4</v>
      </c>
      <c r="X242" s="1" t="s">
        <v>4</v>
      </c>
      <c r="Y242" s="1" t="s">
        <v>4</v>
      </c>
      <c r="Z242" s="1" t="s">
        <v>4</v>
      </c>
      <c r="AA242" s="1" t="s">
        <v>4</v>
      </c>
      <c r="AB242" s="1" t="s">
        <v>4</v>
      </c>
      <c r="AC242" s="1" t="s">
        <v>4</v>
      </c>
      <c r="AD242" s="1" t="s">
        <v>4</v>
      </c>
      <c r="AE242" s="1" t="s">
        <v>4</v>
      </c>
      <c r="AF242" s="1" t="s">
        <v>4</v>
      </c>
      <c r="AG242" s="1" t="s">
        <v>4</v>
      </c>
      <c r="AH242" s="1" t="s">
        <v>4</v>
      </c>
      <c r="AI242" s="1" t="s">
        <v>4</v>
      </c>
      <c r="AJ242" s="1" t="s">
        <v>4</v>
      </c>
      <c r="AK242" s="1" t="s">
        <v>4</v>
      </c>
      <c r="AL242" s="1" t="s">
        <v>4</v>
      </c>
      <c r="AM242" s="1" t="s">
        <v>4</v>
      </c>
      <c r="AN242" s="1" t="s">
        <v>4</v>
      </c>
      <c r="AO242" s="1" t="s">
        <v>4</v>
      </c>
      <c r="AP242" s="1" t="s">
        <v>4</v>
      </c>
    </row>
    <row r="243" spans="1:42">
      <c r="A243" s="1" t="s">
        <v>6</v>
      </c>
      <c r="B243" s="1" t="s">
        <v>7</v>
      </c>
      <c r="C243" s="1">
        <v>0.06</v>
      </c>
      <c r="D243" s="1">
        <v>0.02</v>
      </c>
      <c r="E243" s="1">
        <v>0.03</v>
      </c>
      <c r="F243" s="1">
        <v>0.03</v>
      </c>
      <c r="G243" s="1">
        <v>0.05</v>
      </c>
      <c r="I243" s="1">
        <v>0.09</v>
      </c>
      <c r="J243" s="1">
        <v>0.02</v>
      </c>
      <c r="K243" s="1">
        <v>0.04</v>
      </c>
      <c r="M243" s="1">
        <v>0.04</v>
      </c>
      <c r="N243" s="1">
        <v>0.04</v>
      </c>
      <c r="O243" s="1">
        <v>0.06</v>
      </c>
      <c r="P243" s="1">
        <v>0.09</v>
      </c>
      <c r="R243" s="1">
        <v>0.05</v>
      </c>
      <c r="S243" s="1">
        <v>0.04</v>
      </c>
      <c r="T243" s="1">
        <v>0.05</v>
      </c>
      <c r="U243" s="1">
        <v>0.05</v>
      </c>
      <c r="V243" s="1">
        <v>0.04</v>
      </c>
      <c r="W243" s="1">
        <v>0.04</v>
      </c>
      <c r="X243" s="1">
        <v>0.04</v>
      </c>
      <c r="Y243" s="1">
        <v>0.03</v>
      </c>
      <c r="Z243" s="1">
        <v>0.02</v>
      </c>
      <c r="AA243" s="1">
        <v>0.03</v>
      </c>
      <c r="AB243" s="1">
        <v>0.02</v>
      </c>
      <c r="AC243" s="1">
        <v>0.03</v>
      </c>
      <c r="AD243" s="1">
        <v>0.03</v>
      </c>
      <c r="AE243" s="1">
        <v>0.03</v>
      </c>
      <c r="AF243" s="1">
        <v>0.03</v>
      </c>
      <c r="AG243" s="1">
        <v>0.04</v>
      </c>
      <c r="AH243" s="1">
        <v>0.03</v>
      </c>
      <c r="AI243" s="1">
        <v>0.03</v>
      </c>
      <c r="AJ243" s="1">
        <v>0.03</v>
      </c>
      <c r="AK243" s="1">
        <v>0.04</v>
      </c>
      <c r="AL243" s="1">
        <v>0.03</v>
      </c>
      <c r="AM243" s="1">
        <v>0.03</v>
      </c>
      <c r="AN243" s="1">
        <v>0.02</v>
      </c>
      <c r="AO243" s="1">
        <v>0.03</v>
      </c>
      <c r="AP243" s="1">
        <v>0.03</v>
      </c>
    </row>
    <row r="244" spans="1:42">
      <c r="B244" s="1" t="s">
        <v>8</v>
      </c>
      <c r="C244" s="1">
        <v>0.2</v>
      </c>
      <c r="D244" s="1">
        <v>0.02</v>
      </c>
      <c r="E244" s="1">
        <v>0.03</v>
      </c>
      <c r="F244" s="1">
        <v>0.03</v>
      </c>
      <c r="G244" s="1">
        <v>0.04</v>
      </c>
      <c r="I244" s="1">
        <v>0.05</v>
      </c>
      <c r="J244" s="1">
        <v>0.03</v>
      </c>
      <c r="K244" s="1">
        <v>0.03</v>
      </c>
      <c r="M244" s="1">
        <v>0.03</v>
      </c>
      <c r="N244" s="1">
        <v>0.03</v>
      </c>
      <c r="O244" s="1">
        <v>0.05</v>
      </c>
      <c r="P244" s="1">
        <v>0.05</v>
      </c>
      <c r="R244" s="1">
        <v>0.05</v>
      </c>
      <c r="S244" s="1">
        <v>0.07</v>
      </c>
      <c r="T244" s="1">
        <v>0.05</v>
      </c>
      <c r="U244" s="1">
        <v>0.05</v>
      </c>
      <c r="V244" s="1">
        <v>0.04</v>
      </c>
      <c r="W244" s="1">
        <v>0.04</v>
      </c>
      <c r="X244" s="1">
        <v>0.04</v>
      </c>
      <c r="Y244" s="1">
        <v>0.03</v>
      </c>
      <c r="Z244" s="1">
        <v>0.03</v>
      </c>
      <c r="AA244" s="1">
        <v>0.04</v>
      </c>
      <c r="AB244" s="1">
        <v>0.03</v>
      </c>
      <c r="AC244" s="1">
        <v>0.03</v>
      </c>
      <c r="AD244" s="1">
        <v>0.04</v>
      </c>
      <c r="AE244" s="1">
        <v>0.03</v>
      </c>
      <c r="AF244" s="1">
        <v>0.04</v>
      </c>
      <c r="AG244" s="1">
        <v>0.04</v>
      </c>
      <c r="AH244" s="1">
        <v>0.04</v>
      </c>
      <c r="AI244" s="1">
        <v>0.04</v>
      </c>
      <c r="AJ244" s="1">
        <v>0.03</v>
      </c>
      <c r="AK244" s="1">
        <v>0.04</v>
      </c>
      <c r="AL244" s="1">
        <v>0.03</v>
      </c>
      <c r="AM244" s="1">
        <v>0.03</v>
      </c>
      <c r="AN244" s="1">
        <v>0.03</v>
      </c>
      <c r="AO244" s="1">
        <v>0.03</v>
      </c>
      <c r="AP244" s="1">
        <v>0.03</v>
      </c>
    </row>
    <row r="245" spans="1:42">
      <c r="B245" s="1" t="s">
        <v>9</v>
      </c>
      <c r="C245" s="1">
        <v>4.03</v>
      </c>
      <c r="D245" s="1">
        <v>2.74</v>
      </c>
      <c r="E245" s="1">
        <v>2.16</v>
      </c>
      <c r="F245" s="1">
        <v>5.79</v>
      </c>
      <c r="G245" s="1">
        <v>9.44</v>
      </c>
      <c r="I245" s="1">
        <v>4.18</v>
      </c>
      <c r="J245" s="1">
        <v>1.95</v>
      </c>
      <c r="K245" s="1">
        <v>2.75</v>
      </c>
      <c r="M245" s="1">
        <v>4.61</v>
      </c>
      <c r="N245" s="1">
        <v>3.41</v>
      </c>
      <c r="O245" s="1">
        <v>6.32</v>
      </c>
      <c r="P245" s="1">
        <v>4.71</v>
      </c>
      <c r="R245" s="1">
        <v>7.54</v>
      </c>
      <c r="S245" s="1">
        <v>5.79</v>
      </c>
      <c r="T245" s="1">
        <v>2.87</v>
      </c>
      <c r="U245" s="1">
        <v>2.86</v>
      </c>
      <c r="V245" s="1">
        <v>2.87</v>
      </c>
      <c r="W245" s="1">
        <v>2.59</v>
      </c>
      <c r="X245" s="1">
        <v>2.38</v>
      </c>
      <c r="Y245" s="1">
        <v>2.39</v>
      </c>
      <c r="Z245" s="1">
        <v>2.37</v>
      </c>
      <c r="AA245" s="1">
        <v>3.2</v>
      </c>
      <c r="AB245" s="1">
        <v>2.45</v>
      </c>
      <c r="AC245" s="1">
        <v>2.86</v>
      </c>
      <c r="AD245" s="1">
        <v>2.92</v>
      </c>
      <c r="AE245" s="1">
        <v>2.35</v>
      </c>
      <c r="AF245" s="1">
        <v>2.46</v>
      </c>
      <c r="AG245" s="1">
        <v>2.93</v>
      </c>
      <c r="AH245" s="1">
        <v>2.01</v>
      </c>
      <c r="AI245" s="1">
        <v>1.57</v>
      </c>
      <c r="AJ245" s="1">
        <v>1.36</v>
      </c>
      <c r="AK245" s="1">
        <v>1.06</v>
      </c>
      <c r="AL245" s="1">
        <v>1.03</v>
      </c>
      <c r="AM245" s="1">
        <v>1.1</v>
      </c>
      <c r="AN245" s="1">
        <v>0.75</v>
      </c>
      <c r="AO245" s="1">
        <v>0.77</v>
      </c>
      <c r="AP245" s="1">
        <v>0.53</v>
      </c>
    </row>
    <row r="246" spans="1:42">
      <c r="B246" s="1" t="s">
        <v>10</v>
      </c>
      <c r="C246" s="1">
        <v>0.32</v>
      </c>
      <c r="D246" s="1">
        <v>0.14</v>
      </c>
      <c r="E246" s="1">
        <v>0.17</v>
      </c>
      <c r="F246" s="1">
        <v>0.44</v>
      </c>
      <c r="G246" s="1">
        <v>0.95</v>
      </c>
      <c r="I246" s="1">
        <v>0.29</v>
      </c>
      <c r="J246" s="1">
        <v>0.22</v>
      </c>
      <c r="K246" s="1">
        <v>0.29</v>
      </c>
      <c r="M246" s="1">
        <v>0.31</v>
      </c>
      <c r="N246" s="1">
        <v>1.06</v>
      </c>
      <c r="O246" s="1">
        <v>0.45</v>
      </c>
      <c r="P246" s="1">
        <v>0.5</v>
      </c>
      <c r="R246" s="1">
        <v>0.51</v>
      </c>
      <c r="S246" s="1">
        <v>0.37</v>
      </c>
      <c r="T246" s="1">
        <v>0.89</v>
      </c>
      <c r="U246" s="1">
        <v>1.27</v>
      </c>
      <c r="V246" s="1">
        <v>0.36</v>
      </c>
      <c r="W246" s="1">
        <v>0.41</v>
      </c>
      <c r="X246" s="1">
        <v>0.57</v>
      </c>
      <c r="Y246" s="1">
        <v>0.37</v>
      </c>
      <c r="Z246" s="1">
        <v>0.37</v>
      </c>
      <c r="AA246" s="1">
        <v>0.47</v>
      </c>
      <c r="AB246" s="1">
        <v>0.56</v>
      </c>
      <c r="AC246" s="1">
        <v>0.4</v>
      </c>
      <c r="AD246" s="1">
        <v>0.4</v>
      </c>
      <c r="AE246" s="1">
        <v>0.37</v>
      </c>
      <c r="AF246" s="1">
        <v>0.36</v>
      </c>
      <c r="AG246" s="1">
        <v>0.46</v>
      </c>
      <c r="AH246" s="1">
        <v>0.66</v>
      </c>
      <c r="AI246" s="1">
        <v>0.34</v>
      </c>
      <c r="AJ246" s="1">
        <v>0.32</v>
      </c>
      <c r="AK246" s="1">
        <v>0.37</v>
      </c>
      <c r="AL246" s="1">
        <v>0.36</v>
      </c>
      <c r="AM246" s="1">
        <v>0.39</v>
      </c>
      <c r="AN246" s="1">
        <v>0.33</v>
      </c>
      <c r="AO246" s="1">
        <v>0.38</v>
      </c>
      <c r="AP246" s="1">
        <v>0.33</v>
      </c>
    </row>
    <row r="247" spans="1:42">
      <c r="B247" s="1" t="s">
        <v>11</v>
      </c>
      <c r="C247" s="1">
        <v>0.15</v>
      </c>
      <c r="D247" s="1">
        <v>0.05</v>
      </c>
      <c r="E247" s="1">
        <v>0.06</v>
      </c>
      <c r="F247" s="1">
        <v>0.07</v>
      </c>
      <c r="G247" s="1">
        <v>0.11</v>
      </c>
      <c r="I247" s="1">
        <v>0.08</v>
      </c>
      <c r="J247" s="1">
        <v>0.05</v>
      </c>
      <c r="K247" s="1">
        <v>0.08</v>
      </c>
      <c r="M247" s="1">
        <v>0.09</v>
      </c>
      <c r="N247" s="1">
        <v>0.1</v>
      </c>
      <c r="O247" s="1">
        <v>0.08</v>
      </c>
      <c r="P247" s="1">
        <v>0.11</v>
      </c>
      <c r="R247" s="1">
        <v>0.1</v>
      </c>
      <c r="S247" s="1">
        <v>0.08</v>
      </c>
      <c r="T247" s="1">
        <v>0.1</v>
      </c>
      <c r="U247" s="1">
        <v>0.1</v>
      </c>
      <c r="V247" s="1">
        <v>0.08</v>
      </c>
      <c r="W247" s="1">
        <v>0.1</v>
      </c>
      <c r="X247" s="1">
        <v>0.08</v>
      </c>
      <c r="Y247" s="1">
        <v>0.07</v>
      </c>
      <c r="Z247" s="1">
        <v>0.06</v>
      </c>
      <c r="AA247" s="1">
        <v>0.07</v>
      </c>
      <c r="AB247" s="1">
        <v>0.07</v>
      </c>
      <c r="AC247" s="1">
        <v>0.08</v>
      </c>
      <c r="AD247" s="1">
        <v>0.07</v>
      </c>
      <c r="AE247" s="1">
        <v>0.06</v>
      </c>
      <c r="AF247" s="1">
        <v>0.06</v>
      </c>
      <c r="AG247" s="1">
        <v>0.08</v>
      </c>
      <c r="AH247" s="1">
        <v>0.07</v>
      </c>
      <c r="AI247" s="1">
        <v>0.09</v>
      </c>
      <c r="AJ247" s="1">
        <v>0.06</v>
      </c>
      <c r="AK247" s="1">
        <v>0.07</v>
      </c>
      <c r="AL247" s="1">
        <v>0.07</v>
      </c>
      <c r="AM247" s="1">
        <v>0.07</v>
      </c>
      <c r="AN247" s="1">
        <v>0.06</v>
      </c>
      <c r="AO247" s="1">
        <v>0.07</v>
      </c>
      <c r="AP247" s="1">
        <v>0.09</v>
      </c>
    </row>
    <row r="248" spans="1:42">
      <c r="A248" s="1" t="s">
        <v>12</v>
      </c>
      <c r="C248" s="1" t="s">
        <v>414</v>
      </c>
      <c r="D248" s="1" t="s">
        <v>260</v>
      </c>
      <c r="E248" s="1" t="s">
        <v>415</v>
      </c>
      <c r="F248" s="1" t="s">
        <v>416</v>
      </c>
      <c r="G248" s="1" t="s">
        <v>417</v>
      </c>
      <c r="H248" s="1" t="s">
        <v>283</v>
      </c>
      <c r="I248" s="1" t="s">
        <v>418</v>
      </c>
      <c r="J248" s="1" t="s">
        <v>106</v>
      </c>
      <c r="K248" s="1" t="s">
        <v>419</v>
      </c>
      <c r="L248" s="1" t="s">
        <v>420</v>
      </c>
      <c r="M248" s="1" t="s">
        <v>421</v>
      </c>
      <c r="N248" s="1" t="s">
        <v>220</v>
      </c>
      <c r="O248" s="1" t="s">
        <v>422</v>
      </c>
      <c r="P248" s="1" t="s">
        <v>423</v>
      </c>
      <c r="Q248" s="1" t="s">
        <v>424</v>
      </c>
      <c r="R248" s="1" t="s">
        <v>425</v>
      </c>
      <c r="S248" s="1" t="s">
        <v>426</v>
      </c>
      <c r="T248" s="1" t="s">
        <v>427</v>
      </c>
      <c r="U248" s="1" t="s">
        <v>428</v>
      </c>
      <c r="V248" s="1" t="s">
        <v>428</v>
      </c>
      <c r="W248" s="1" t="s">
        <v>428</v>
      </c>
      <c r="X248" s="1" t="s">
        <v>428</v>
      </c>
      <c r="Y248" s="1" t="s">
        <v>429</v>
      </c>
      <c r="Z248" s="1" t="s">
        <v>429</v>
      </c>
      <c r="AA248" s="1" t="s">
        <v>429</v>
      </c>
      <c r="AB248" s="1" t="s">
        <v>429</v>
      </c>
      <c r="AC248" s="1" t="s">
        <v>430</v>
      </c>
      <c r="AD248" s="1" t="s">
        <v>430</v>
      </c>
      <c r="AE248" s="1" t="s">
        <v>430</v>
      </c>
      <c r="AF248" s="1" t="s">
        <v>430</v>
      </c>
      <c r="AG248" s="1" t="s">
        <v>430</v>
      </c>
      <c r="AH248" s="1" t="s">
        <v>430</v>
      </c>
      <c r="AI248" s="1" t="s">
        <v>431</v>
      </c>
      <c r="AJ248" s="1" t="s">
        <v>431</v>
      </c>
      <c r="AK248" s="1" t="s">
        <v>431</v>
      </c>
      <c r="AL248" s="1" t="s">
        <v>431</v>
      </c>
      <c r="AM248" s="1" t="s">
        <v>431</v>
      </c>
      <c r="AN248" s="1" t="s">
        <v>431</v>
      </c>
      <c r="AO248" s="1" t="s">
        <v>431</v>
      </c>
      <c r="AP248" s="1" t="s">
        <v>431</v>
      </c>
    </row>
    <row r="249" spans="1:42">
      <c r="A249" s="1" t="s">
        <v>21</v>
      </c>
      <c r="C249" s="1">
        <v>4.832</v>
      </c>
      <c r="D249" s="1">
        <v>3.026</v>
      </c>
      <c r="E249" s="1">
        <v>2.511</v>
      </c>
      <c r="F249" s="1">
        <v>6.402</v>
      </c>
      <c r="G249" s="1">
        <v>10.646</v>
      </c>
      <c r="H249" s="1">
        <v>11.244</v>
      </c>
      <c r="I249" s="1">
        <v>4.731</v>
      </c>
      <c r="J249" s="1">
        <v>2.33</v>
      </c>
      <c r="K249" s="1">
        <v>3.236</v>
      </c>
      <c r="L249" s="1">
        <v>20.422</v>
      </c>
      <c r="M249" s="1">
        <v>5.148</v>
      </c>
      <c r="N249" s="1">
        <v>4.735</v>
      </c>
      <c r="O249" s="1">
        <v>7.022</v>
      </c>
      <c r="P249" s="1">
        <v>5.511</v>
      </c>
      <c r="Q249" s="1">
        <v>27.271</v>
      </c>
      <c r="R249" s="1">
        <v>8.35</v>
      </c>
      <c r="S249" s="1">
        <v>6.433</v>
      </c>
      <c r="T249" s="1">
        <v>4.033</v>
      </c>
      <c r="U249" s="1">
        <v>4.402</v>
      </c>
      <c r="V249" s="1">
        <v>3.442</v>
      </c>
      <c r="W249" s="1">
        <v>3.249</v>
      </c>
      <c r="X249" s="1">
        <v>3.166</v>
      </c>
      <c r="Y249" s="1">
        <v>2.934</v>
      </c>
      <c r="Z249" s="1">
        <v>2.935</v>
      </c>
      <c r="AA249" s="1">
        <v>3.899</v>
      </c>
      <c r="AB249" s="1">
        <v>3.243</v>
      </c>
      <c r="AC249" s="1">
        <v>3.455</v>
      </c>
      <c r="AD249" s="1">
        <v>3.519</v>
      </c>
      <c r="AE249" s="1">
        <v>2.91</v>
      </c>
      <c r="AF249" s="1">
        <v>3.011</v>
      </c>
      <c r="AG249" s="1">
        <v>3.61</v>
      </c>
      <c r="AH249" s="1">
        <v>2.873</v>
      </c>
      <c r="AI249" s="1">
        <v>2.118</v>
      </c>
      <c r="AJ249" s="1">
        <v>1.847</v>
      </c>
      <c r="AK249" s="1">
        <v>1.624</v>
      </c>
      <c r="AL249" s="1">
        <v>1.553</v>
      </c>
      <c r="AM249" s="1">
        <v>1.656</v>
      </c>
      <c r="AN249" s="1">
        <v>1.221</v>
      </c>
      <c r="AO249" s="1">
        <v>1.355</v>
      </c>
      <c r="AP249" s="1">
        <v>1.03</v>
      </c>
    </row>
    <row r="250" spans="1:42">
      <c r="A250" s="1" t="s">
        <v>22</v>
      </c>
      <c r="C250" s="1">
        <f>C249+D249+E249+F249+G249+H249+I249+J249+K249+L249+M249+N249+O249+P249+Q249+R249+S249+T249+U249+V249+W249+X249+Y249+Z249+AA249+AB249+AC249+AD249+AE249+AF249+AG249+AH249+AI249+AJ249+AK249+AL249+AM249+AN249+AO249+AP249</f>
        <v>196.935</v>
      </c>
    </row>
    <row r="251" spans="1:42">
      <c r="A251" s="1" t="s">
        <v>23</v>
      </c>
      <c r="C251" s="1">
        <v>8728</v>
      </c>
    </row>
    <row r="252" spans="1:42">
      <c r="A252" s="1" t="s">
        <v>24</v>
      </c>
      <c r="C252" s="3">
        <f>C250/C251</f>
        <v>0.0225635884509624</v>
      </c>
    </row>
    <row r="253" spans="1:42">
      <c r="A253" s="1" t="s">
        <v>25</v>
      </c>
      <c r="C253" s="3">
        <f>SUMIF(C242:AP242,"Young",C249:AP249)/C251</f>
        <v>0.0158109532538955</v>
      </c>
    </row>
    <row r="254" spans="1:42">
      <c r="C254" s="1" t="s">
        <v>432</v>
      </c>
    </row>
    <row r="255" spans="1:42">
      <c r="A255" s="1" t="s">
        <v>2</v>
      </c>
      <c r="C255" s="1">
        <v>0</v>
      </c>
      <c r="D255" s="1">
        <v>1</v>
      </c>
      <c r="E255" s="1">
        <v>2</v>
      </c>
      <c r="F255" s="1">
        <v>3</v>
      </c>
      <c r="G255" s="1">
        <v>4</v>
      </c>
      <c r="H255" s="1">
        <v>5</v>
      </c>
      <c r="I255" s="1">
        <v>6</v>
      </c>
      <c r="J255" s="1">
        <v>7</v>
      </c>
      <c r="K255" s="1">
        <v>8</v>
      </c>
      <c r="L255" s="1">
        <v>9</v>
      </c>
      <c r="M255" s="1">
        <v>10</v>
      </c>
      <c r="N255" s="1">
        <v>11</v>
      </c>
      <c r="O255" s="1">
        <v>12</v>
      </c>
      <c r="P255" s="1">
        <v>13</v>
      </c>
      <c r="Q255" s="1">
        <v>14</v>
      </c>
      <c r="R255" s="1">
        <v>15</v>
      </c>
      <c r="S255" s="1">
        <v>16</v>
      </c>
      <c r="T255" s="1">
        <v>17</v>
      </c>
      <c r="U255" s="1">
        <v>18</v>
      </c>
      <c r="V255" s="1">
        <v>19</v>
      </c>
      <c r="W255" s="1">
        <v>20</v>
      </c>
      <c r="X255" s="1">
        <v>21</v>
      </c>
      <c r="Y255" s="1">
        <v>22</v>
      </c>
      <c r="Z255" s="1">
        <v>23</v>
      </c>
      <c r="AA255" s="1">
        <v>24</v>
      </c>
      <c r="AB255" s="1">
        <v>25</v>
      </c>
      <c r="AC255" s="1">
        <v>26</v>
      </c>
    </row>
    <row r="256" spans="1:42">
      <c r="A256" s="1" t="s">
        <v>3</v>
      </c>
      <c r="C256" s="1" t="s">
        <v>5</v>
      </c>
      <c r="D256" s="1" t="s">
        <v>4</v>
      </c>
      <c r="E256" s="1" t="s">
        <v>4</v>
      </c>
      <c r="F256" s="1" t="s">
        <v>4</v>
      </c>
      <c r="G256" s="1" t="s">
        <v>4</v>
      </c>
      <c r="H256" s="1" t="s">
        <v>61</v>
      </c>
      <c r="I256" s="1" t="s">
        <v>4</v>
      </c>
      <c r="J256" s="1" t="s">
        <v>4</v>
      </c>
      <c r="K256" s="1" t="s">
        <v>4</v>
      </c>
      <c r="L256" s="1" t="s">
        <v>4</v>
      </c>
      <c r="M256" s="1" t="s">
        <v>4</v>
      </c>
      <c r="N256" s="1" t="s">
        <v>4</v>
      </c>
      <c r="O256" s="1" t="s">
        <v>4</v>
      </c>
      <c r="P256" s="1" t="s">
        <v>4</v>
      </c>
      <c r="Q256" s="1" t="s">
        <v>4</v>
      </c>
      <c r="R256" s="1" t="s">
        <v>4</v>
      </c>
      <c r="S256" s="1" t="s">
        <v>4</v>
      </c>
      <c r="T256" s="1" t="s">
        <v>4</v>
      </c>
      <c r="U256" s="1" t="s">
        <v>4</v>
      </c>
      <c r="V256" s="1" t="s">
        <v>4</v>
      </c>
      <c r="W256" s="1" t="s">
        <v>4</v>
      </c>
      <c r="X256" s="1" t="s">
        <v>4</v>
      </c>
      <c r="Y256" s="1" t="s">
        <v>4</v>
      </c>
      <c r="Z256" s="1" t="s">
        <v>4</v>
      </c>
      <c r="AA256" s="1" t="s">
        <v>4</v>
      </c>
      <c r="AB256" s="1" t="s">
        <v>4</v>
      </c>
      <c r="AC256" s="1" t="s">
        <v>4</v>
      </c>
    </row>
    <row r="257" spans="1:29">
      <c r="A257" s="1" t="s">
        <v>6</v>
      </c>
      <c r="B257" s="1" t="s">
        <v>7</v>
      </c>
      <c r="D257" s="1">
        <v>0.03</v>
      </c>
      <c r="E257" s="1">
        <v>0.03</v>
      </c>
      <c r="F257" s="1">
        <v>0.03</v>
      </c>
      <c r="G257" s="1">
        <v>0.03</v>
      </c>
      <c r="I257" s="1">
        <v>0.03</v>
      </c>
      <c r="J257" s="1">
        <v>0.03</v>
      </c>
      <c r="K257" s="1">
        <v>0.03</v>
      </c>
      <c r="L257" s="1">
        <v>0.03</v>
      </c>
      <c r="M257" s="1">
        <v>0.03</v>
      </c>
      <c r="N257" s="1">
        <v>0.03</v>
      </c>
      <c r="O257" s="1">
        <v>0.84</v>
      </c>
      <c r="P257" s="1">
        <v>0.03</v>
      </c>
      <c r="Q257" s="1">
        <v>0.04</v>
      </c>
      <c r="R257" s="1">
        <v>0.05</v>
      </c>
      <c r="S257" s="1">
        <v>0.06</v>
      </c>
      <c r="T257" s="1">
        <v>0.05</v>
      </c>
      <c r="U257" s="1">
        <v>0.06</v>
      </c>
      <c r="V257" s="1">
        <v>0.05</v>
      </c>
      <c r="W257" s="1">
        <v>0.05</v>
      </c>
      <c r="X257" s="1">
        <v>0.05</v>
      </c>
      <c r="Y257" s="1">
        <v>0.04</v>
      </c>
      <c r="Z257" s="1">
        <v>0.05</v>
      </c>
      <c r="AA257" s="1">
        <v>0.04</v>
      </c>
      <c r="AB257" s="1">
        <v>0.04</v>
      </c>
      <c r="AC257" s="1">
        <v>0.03</v>
      </c>
    </row>
    <row r="258" spans="1:29">
      <c r="B258" s="1" t="s">
        <v>8</v>
      </c>
      <c r="D258" s="1">
        <v>0.1</v>
      </c>
      <c r="E258" s="1">
        <v>0.04</v>
      </c>
      <c r="F258" s="1">
        <v>0.03</v>
      </c>
      <c r="G258" s="1">
        <v>0.02</v>
      </c>
      <c r="I258" s="1">
        <v>0.03</v>
      </c>
      <c r="J258" s="1">
        <v>0.03</v>
      </c>
      <c r="K258" s="1">
        <v>0.02</v>
      </c>
      <c r="L258" s="1">
        <v>0.03</v>
      </c>
      <c r="M258" s="1">
        <v>0.03</v>
      </c>
      <c r="N258" s="1">
        <v>0.03</v>
      </c>
      <c r="O258" s="1">
        <v>0.06</v>
      </c>
      <c r="P258" s="1">
        <v>0.03</v>
      </c>
      <c r="Q258" s="1">
        <v>0.04</v>
      </c>
      <c r="R258" s="1">
        <v>0.04</v>
      </c>
      <c r="S258" s="1">
        <v>0.03</v>
      </c>
      <c r="T258" s="1">
        <v>0.04</v>
      </c>
      <c r="U258" s="1">
        <v>0.03</v>
      </c>
      <c r="V258" s="1">
        <v>0.03</v>
      </c>
      <c r="W258" s="1">
        <v>0.03</v>
      </c>
      <c r="X258" s="1">
        <v>0.07</v>
      </c>
      <c r="Y258" s="1">
        <v>0.04</v>
      </c>
      <c r="Z258" s="1">
        <v>0.03</v>
      </c>
      <c r="AA258" s="1">
        <v>0.04</v>
      </c>
      <c r="AB258" s="1">
        <v>0.03</v>
      </c>
      <c r="AC258" s="1">
        <v>0.03</v>
      </c>
    </row>
    <row r="259" spans="1:29">
      <c r="B259" s="1" t="s">
        <v>9</v>
      </c>
      <c r="D259" s="1">
        <v>1.79</v>
      </c>
      <c r="E259" s="1">
        <v>3.71</v>
      </c>
      <c r="F259" s="1">
        <v>3.06</v>
      </c>
      <c r="G259" s="1">
        <v>2.12</v>
      </c>
      <c r="I259" s="1">
        <v>3.52</v>
      </c>
      <c r="J259" s="1">
        <v>2.74</v>
      </c>
      <c r="K259" s="1">
        <v>2.82</v>
      </c>
      <c r="L259" s="1">
        <v>3.36</v>
      </c>
      <c r="M259" s="1">
        <v>4.33</v>
      </c>
      <c r="N259" s="1">
        <v>4.55</v>
      </c>
      <c r="O259" s="1">
        <v>6.81</v>
      </c>
      <c r="P259" s="1">
        <v>2.3</v>
      </c>
      <c r="Q259" s="1">
        <v>3.27</v>
      </c>
      <c r="R259" s="1">
        <v>2.51</v>
      </c>
      <c r="S259" s="1">
        <v>1.53</v>
      </c>
      <c r="T259" s="1">
        <v>1.86</v>
      </c>
      <c r="U259" s="1">
        <v>1.85</v>
      </c>
      <c r="V259" s="1">
        <v>2.23</v>
      </c>
      <c r="W259" s="1">
        <v>1.87</v>
      </c>
      <c r="X259" s="1">
        <v>2.26</v>
      </c>
      <c r="Y259" s="1">
        <v>3.63</v>
      </c>
      <c r="Z259" s="1">
        <v>3.08</v>
      </c>
      <c r="AA259" s="1">
        <v>2.2</v>
      </c>
      <c r="AB259" s="1">
        <v>3.45</v>
      </c>
      <c r="AC259" s="1">
        <v>1.9</v>
      </c>
    </row>
    <row r="260" spans="1:29">
      <c r="B260" s="1" t="s">
        <v>10</v>
      </c>
      <c r="D260" s="1">
        <v>0.09</v>
      </c>
      <c r="E260" s="1">
        <v>0.18</v>
      </c>
      <c r="F260" s="1">
        <v>0.13</v>
      </c>
      <c r="G260" s="1">
        <v>0.41</v>
      </c>
      <c r="I260" s="1">
        <v>0.19</v>
      </c>
      <c r="J260" s="1">
        <v>0.12</v>
      </c>
      <c r="K260" s="1">
        <v>0.13</v>
      </c>
      <c r="L260" s="1">
        <v>0.19</v>
      </c>
      <c r="M260" s="1">
        <v>3.25</v>
      </c>
      <c r="N260" s="1">
        <v>0.18</v>
      </c>
      <c r="O260" s="1">
        <v>0.3</v>
      </c>
      <c r="P260" s="1">
        <v>0.18</v>
      </c>
      <c r="Q260" s="1">
        <v>0.69</v>
      </c>
      <c r="R260" s="1">
        <v>0.31</v>
      </c>
      <c r="S260" s="1">
        <v>0.22</v>
      </c>
      <c r="T260" s="1">
        <v>0.2</v>
      </c>
      <c r="U260" s="1">
        <v>0.62</v>
      </c>
      <c r="V260" s="1">
        <v>0.22</v>
      </c>
      <c r="W260" s="1">
        <v>0.23</v>
      </c>
      <c r="X260" s="1">
        <v>0.24</v>
      </c>
      <c r="Y260" s="1">
        <v>0.81</v>
      </c>
      <c r="Z260" s="1">
        <v>0.35</v>
      </c>
      <c r="AA260" s="1">
        <v>0.27</v>
      </c>
      <c r="AB260" s="1">
        <v>0.23</v>
      </c>
      <c r="AC260" s="1">
        <v>1.24</v>
      </c>
    </row>
    <row r="261" spans="1:29">
      <c r="B261" s="1" t="s">
        <v>11</v>
      </c>
      <c r="D261" s="1">
        <v>0.06</v>
      </c>
      <c r="E261" s="1">
        <v>0.06</v>
      </c>
      <c r="F261" s="1">
        <v>0.08</v>
      </c>
      <c r="G261" s="1">
        <v>0.08</v>
      </c>
      <c r="I261" s="1">
        <v>0.06</v>
      </c>
      <c r="J261" s="1">
        <v>0.07</v>
      </c>
      <c r="K261" s="1">
        <v>0.05</v>
      </c>
      <c r="L261" s="1">
        <v>0.08</v>
      </c>
      <c r="M261" s="1">
        <v>0.08</v>
      </c>
      <c r="N261" s="1">
        <v>0.09</v>
      </c>
      <c r="O261" s="1">
        <v>0.09</v>
      </c>
      <c r="P261" s="1">
        <v>0.08</v>
      </c>
      <c r="Q261" s="1">
        <v>0.1</v>
      </c>
      <c r="R261" s="1">
        <v>0.11</v>
      </c>
      <c r="S261" s="1">
        <v>0.08</v>
      </c>
      <c r="T261" s="1">
        <v>0.08</v>
      </c>
      <c r="U261" s="1">
        <v>0.07</v>
      </c>
      <c r="V261" s="1">
        <v>0.1</v>
      </c>
      <c r="W261" s="1">
        <v>0.06</v>
      </c>
      <c r="X261" s="1">
        <v>0.07</v>
      </c>
      <c r="Y261" s="1">
        <v>0.08</v>
      </c>
      <c r="Z261" s="1">
        <v>0.1</v>
      </c>
      <c r="AA261" s="1">
        <v>0.11</v>
      </c>
      <c r="AB261" s="1">
        <v>0.06</v>
      </c>
      <c r="AC261" s="1">
        <v>0.07</v>
      </c>
    </row>
    <row r="262" spans="1:29">
      <c r="A262" s="1" t="s">
        <v>12</v>
      </c>
      <c r="C262" s="1" t="s">
        <v>433</v>
      </c>
      <c r="D262" s="1" t="s">
        <v>28</v>
      </c>
      <c r="E262" s="1" t="s">
        <v>434</v>
      </c>
      <c r="F262" s="1" t="s">
        <v>435</v>
      </c>
      <c r="G262" s="1" t="s">
        <v>436</v>
      </c>
      <c r="H262" s="1" t="s">
        <v>437</v>
      </c>
      <c r="I262" s="1" t="s">
        <v>438</v>
      </c>
      <c r="J262" s="1" t="s">
        <v>439</v>
      </c>
      <c r="K262" s="1" t="s">
        <v>440</v>
      </c>
      <c r="L262" s="1" t="s">
        <v>441</v>
      </c>
      <c r="M262" s="1" t="s">
        <v>442</v>
      </c>
      <c r="N262" s="1" t="s">
        <v>443</v>
      </c>
      <c r="O262" s="1" t="s">
        <v>444</v>
      </c>
      <c r="P262" s="1" t="s">
        <v>445</v>
      </c>
      <c r="Q262" s="1" t="s">
        <v>445</v>
      </c>
      <c r="R262" s="1" t="s">
        <v>446</v>
      </c>
      <c r="S262" s="1" t="s">
        <v>447</v>
      </c>
      <c r="T262" s="1" t="s">
        <v>448</v>
      </c>
      <c r="U262" s="1" t="s">
        <v>449</v>
      </c>
      <c r="V262" s="1" t="s">
        <v>450</v>
      </c>
      <c r="W262" s="1" t="s">
        <v>451</v>
      </c>
      <c r="X262" s="1" t="s">
        <v>452</v>
      </c>
      <c r="Y262" s="1" t="s">
        <v>450</v>
      </c>
      <c r="Z262" s="1" t="s">
        <v>453</v>
      </c>
      <c r="AA262" s="1" t="s">
        <v>454</v>
      </c>
      <c r="AB262" s="1" t="s">
        <v>455</v>
      </c>
      <c r="AC262" s="1" t="s">
        <v>456</v>
      </c>
    </row>
    <row r="263" spans="1:29">
      <c r="A263" s="1" t="s">
        <v>21</v>
      </c>
      <c r="C263" s="1">
        <v>14.877</v>
      </c>
      <c r="D263" s="1">
        <v>2.099</v>
      </c>
      <c r="E263" s="1">
        <v>4.125</v>
      </c>
      <c r="F263" s="1">
        <v>3.387</v>
      </c>
      <c r="G263" s="1">
        <v>2.697</v>
      </c>
      <c r="H263" s="1">
        <v>34.271</v>
      </c>
      <c r="I263" s="1">
        <v>3.888</v>
      </c>
      <c r="J263" s="1">
        <v>3.029</v>
      </c>
      <c r="K263" s="1">
        <v>3.115</v>
      </c>
      <c r="L263" s="1">
        <v>3.758</v>
      </c>
      <c r="M263" s="1">
        <v>7.781</v>
      </c>
      <c r="N263" s="1">
        <v>4.933</v>
      </c>
      <c r="O263" s="1">
        <v>8.16</v>
      </c>
      <c r="P263" s="1">
        <v>2.674</v>
      </c>
      <c r="Q263" s="1">
        <v>4.187</v>
      </c>
      <c r="R263" s="1">
        <v>3.093</v>
      </c>
      <c r="S263" s="1">
        <v>1.975</v>
      </c>
      <c r="T263" s="1">
        <v>2.265</v>
      </c>
      <c r="U263" s="1">
        <v>2.685</v>
      </c>
      <c r="V263" s="1">
        <v>2.692</v>
      </c>
      <c r="W263" s="1">
        <v>2.287</v>
      </c>
      <c r="X263" s="1">
        <v>2.725</v>
      </c>
      <c r="Y263" s="1">
        <v>4.655</v>
      </c>
      <c r="Z263" s="1">
        <v>3.728</v>
      </c>
      <c r="AA263" s="1">
        <v>2.732</v>
      </c>
      <c r="AB263" s="1">
        <v>3.861</v>
      </c>
      <c r="AC263" s="1">
        <v>3.34</v>
      </c>
    </row>
    <row r="264" spans="1:29">
      <c r="A264" s="1" t="s">
        <v>22</v>
      </c>
      <c r="C264" s="1">
        <f>C263+D263+E263+F263+G263+H263+I263+J263+K263+L263+M263+N263+O263+P263+Q263+R263+S263+T263+U263+V263+W263+X263+Y263+Z263+AA263+AB263+AC263</f>
        <v>139.019</v>
      </c>
    </row>
    <row r="265" spans="1:29">
      <c r="A265" s="1" t="s">
        <v>23</v>
      </c>
      <c r="C265" s="1">
        <v>1836</v>
      </c>
    </row>
    <row r="266" spans="1:29">
      <c r="A266" s="1" t="s">
        <v>24</v>
      </c>
      <c r="C266" s="3">
        <f>C264/C265</f>
        <v>0.0757184095860566</v>
      </c>
    </row>
    <row r="267" spans="1:29">
      <c r="A267" s="1" t="s">
        <v>25</v>
      </c>
      <c r="C267" s="3">
        <f>SUMIF(C256:AC256,"Young",C263:AC263)/C265</f>
        <v>0.0489493464052288</v>
      </c>
    </row>
    <row r="268" spans="1:29">
      <c r="C268" s="1" t="s">
        <v>457</v>
      </c>
    </row>
    <row r="269" spans="1:29">
      <c r="A269" s="1" t="s">
        <v>2</v>
      </c>
      <c r="C269" s="1">
        <v>0</v>
      </c>
      <c r="D269" s="1">
        <v>1</v>
      </c>
      <c r="E269" s="1">
        <v>2</v>
      </c>
      <c r="F269" s="1">
        <v>3</v>
      </c>
      <c r="G269" s="1">
        <v>4</v>
      </c>
      <c r="H269" s="1">
        <v>5</v>
      </c>
      <c r="I269" s="1">
        <v>6</v>
      </c>
      <c r="J269" s="1">
        <v>7</v>
      </c>
      <c r="K269" s="1">
        <v>8</v>
      </c>
      <c r="L269" s="1">
        <v>9</v>
      </c>
      <c r="M269" s="1">
        <v>10</v>
      </c>
      <c r="N269" s="1">
        <v>11</v>
      </c>
      <c r="O269" s="1">
        <v>12</v>
      </c>
      <c r="P269" s="1">
        <v>13</v>
      </c>
      <c r="Q269" s="1">
        <v>14</v>
      </c>
      <c r="R269" s="1">
        <v>15</v>
      </c>
      <c r="S269" s="1">
        <v>16</v>
      </c>
    </row>
    <row r="270" spans="1:29">
      <c r="A270" s="1" t="s">
        <v>3</v>
      </c>
      <c r="C270" s="1" t="s">
        <v>4</v>
      </c>
      <c r="D270" s="1" t="s">
        <v>4</v>
      </c>
      <c r="E270" s="1" t="s">
        <v>4</v>
      </c>
      <c r="F270" s="1" t="s">
        <v>4</v>
      </c>
      <c r="G270" s="1" t="s">
        <v>5</v>
      </c>
      <c r="H270" s="1" t="s">
        <v>4</v>
      </c>
      <c r="I270" s="1" t="s">
        <v>4</v>
      </c>
      <c r="J270" s="1" t="s">
        <v>4</v>
      </c>
      <c r="K270" s="1" t="s">
        <v>4</v>
      </c>
      <c r="L270" s="1" t="s">
        <v>4</v>
      </c>
      <c r="M270" s="1" t="s">
        <v>4</v>
      </c>
      <c r="N270" s="1" t="s">
        <v>4</v>
      </c>
      <c r="O270" s="1" t="s">
        <v>4</v>
      </c>
      <c r="P270" s="1" t="s">
        <v>4</v>
      </c>
      <c r="Q270" s="1" t="s">
        <v>4</v>
      </c>
      <c r="R270" s="1" t="s">
        <v>4</v>
      </c>
      <c r="S270" s="1" t="s">
        <v>4</v>
      </c>
    </row>
    <row r="271" spans="1:29">
      <c r="A271" s="1" t="s">
        <v>6</v>
      </c>
      <c r="B271" s="1" t="s">
        <v>7</v>
      </c>
      <c r="C271" s="1">
        <v>0.04</v>
      </c>
      <c r="D271" s="1">
        <v>0.03</v>
      </c>
      <c r="E271" s="1">
        <v>0.03</v>
      </c>
      <c r="F271" s="1">
        <v>0.04</v>
      </c>
      <c r="H271" s="1">
        <v>0.03</v>
      </c>
      <c r="I271" s="1">
        <v>0.02</v>
      </c>
      <c r="J271" s="1">
        <v>0.95</v>
      </c>
      <c r="K271" s="1">
        <v>0.04</v>
      </c>
      <c r="L271" s="1">
        <v>0.04</v>
      </c>
      <c r="M271" s="1">
        <v>0.04</v>
      </c>
      <c r="N271" s="1">
        <v>0.04</v>
      </c>
      <c r="O271" s="1">
        <v>0.79</v>
      </c>
      <c r="P271" s="1">
        <v>0.05</v>
      </c>
      <c r="Q271" s="1">
        <v>0.03</v>
      </c>
      <c r="R271" s="1">
        <v>0.03</v>
      </c>
      <c r="S271" s="1">
        <v>0.03</v>
      </c>
    </row>
    <row r="272" spans="1:29">
      <c r="B272" s="1" t="s">
        <v>8</v>
      </c>
      <c r="C272" s="1">
        <v>0.1</v>
      </c>
      <c r="D272" s="1">
        <v>0.02</v>
      </c>
      <c r="E272" s="1">
        <v>0.04</v>
      </c>
      <c r="F272" s="1">
        <v>0.03</v>
      </c>
      <c r="H272" s="1">
        <v>0.03</v>
      </c>
      <c r="I272" s="1">
        <v>0.02</v>
      </c>
      <c r="J272" s="1">
        <v>0.03</v>
      </c>
      <c r="K272" s="1">
        <v>0.04</v>
      </c>
      <c r="L272" s="1">
        <v>0.03</v>
      </c>
      <c r="M272" s="1">
        <v>0.04</v>
      </c>
      <c r="N272" s="1">
        <v>0.03</v>
      </c>
      <c r="O272" s="1">
        <v>0.04</v>
      </c>
      <c r="P272" s="1">
        <v>0.05</v>
      </c>
      <c r="Q272" s="1">
        <v>0.05</v>
      </c>
      <c r="R272" s="1">
        <v>0.02</v>
      </c>
      <c r="S272" s="1">
        <v>0.03</v>
      </c>
    </row>
    <row r="273" spans="1:19">
      <c r="B273" s="1" t="s">
        <v>9</v>
      </c>
      <c r="C273" s="1">
        <v>4.18</v>
      </c>
      <c r="D273" s="1">
        <v>3.71</v>
      </c>
      <c r="E273" s="1">
        <v>0.27</v>
      </c>
      <c r="F273" s="1">
        <v>0.44</v>
      </c>
      <c r="H273" s="1">
        <v>1.23</v>
      </c>
      <c r="I273" s="1">
        <v>1.98</v>
      </c>
      <c r="J273" s="1">
        <v>6.31</v>
      </c>
      <c r="K273" s="1">
        <v>7.33</v>
      </c>
      <c r="L273" s="1">
        <v>5.09</v>
      </c>
      <c r="M273" s="1">
        <v>6.38</v>
      </c>
      <c r="N273" s="1">
        <v>1.87</v>
      </c>
      <c r="O273" s="1">
        <v>1.86</v>
      </c>
      <c r="P273" s="1">
        <v>1.44</v>
      </c>
      <c r="Q273" s="1">
        <v>1.68</v>
      </c>
      <c r="R273" s="1">
        <v>1.44</v>
      </c>
      <c r="S273" s="1">
        <v>1.78</v>
      </c>
    </row>
    <row r="274" spans="1:19">
      <c r="B274" s="1" t="s">
        <v>10</v>
      </c>
      <c r="C274" s="1">
        <v>0.21</v>
      </c>
      <c r="D274" s="1">
        <v>0.16</v>
      </c>
      <c r="E274" s="1">
        <v>0.11</v>
      </c>
      <c r="F274" s="1">
        <v>0.1</v>
      </c>
      <c r="H274" s="1">
        <v>0.13</v>
      </c>
      <c r="I274" s="1">
        <v>0.58</v>
      </c>
      <c r="J274" s="1">
        <v>0.24</v>
      </c>
      <c r="K274" s="1">
        <v>0.25</v>
      </c>
      <c r="L274" s="1">
        <v>0.29</v>
      </c>
      <c r="M274" s="1">
        <v>0.45</v>
      </c>
      <c r="N274" s="1">
        <v>0.34</v>
      </c>
      <c r="O274" s="1">
        <v>0.35</v>
      </c>
      <c r="P274" s="1">
        <v>0.3</v>
      </c>
      <c r="Q274" s="1">
        <v>0.32</v>
      </c>
      <c r="R274" s="1">
        <v>0.26</v>
      </c>
      <c r="S274" s="1">
        <v>0.27</v>
      </c>
    </row>
    <row r="275" spans="1:19">
      <c r="B275" s="1" t="s">
        <v>11</v>
      </c>
      <c r="C275" s="1">
        <v>0.06</v>
      </c>
      <c r="D275" s="1">
        <v>0.06</v>
      </c>
      <c r="E275" s="1">
        <v>0.08</v>
      </c>
      <c r="F275" s="1">
        <v>0.08</v>
      </c>
      <c r="H275" s="1">
        <v>0.07</v>
      </c>
      <c r="I275" s="1">
        <v>0.05</v>
      </c>
      <c r="J275" s="1">
        <v>0.09</v>
      </c>
      <c r="K275" s="1">
        <v>0.09</v>
      </c>
      <c r="L275" s="1">
        <v>0.09</v>
      </c>
      <c r="M275" s="1">
        <v>0.11</v>
      </c>
      <c r="N275" s="1">
        <v>0.09</v>
      </c>
      <c r="O275" s="1">
        <v>0.09</v>
      </c>
      <c r="P275" s="1">
        <v>0.06</v>
      </c>
      <c r="Q275" s="1">
        <v>0.07</v>
      </c>
      <c r="R275" s="1">
        <v>0.06</v>
      </c>
      <c r="S275" s="1">
        <v>0.08</v>
      </c>
    </row>
    <row r="276" spans="1:19">
      <c r="A276" s="1" t="s">
        <v>12</v>
      </c>
      <c r="C276" s="1" t="s">
        <v>414</v>
      </c>
      <c r="D276" s="1" t="s">
        <v>260</v>
      </c>
      <c r="E276" s="1" t="s">
        <v>261</v>
      </c>
      <c r="F276" s="1" t="s">
        <v>319</v>
      </c>
      <c r="G276" s="1" t="s">
        <v>304</v>
      </c>
      <c r="H276" s="1" t="s">
        <v>16</v>
      </c>
      <c r="I276" s="1" t="s">
        <v>17</v>
      </c>
      <c r="J276" s="1" t="s">
        <v>458</v>
      </c>
      <c r="K276" s="1" t="s">
        <v>459</v>
      </c>
      <c r="L276" s="1" t="s">
        <v>460</v>
      </c>
      <c r="M276" s="1" t="s">
        <v>461</v>
      </c>
      <c r="N276" s="1" t="s">
        <v>462</v>
      </c>
      <c r="O276" s="1" t="s">
        <v>463</v>
      </c>
      <c r="P276" s="1" t="s">
        <v>464</v>
      </c>
      <c r="Q276" s="1" t="s">
        <v>465</v>
      </c>
      <c r="R276" s="1" t="s">
        <v>466</v>
      </c>
      <c r="S276" s="1" t="s">
        <v>467</v>
      </c>
    </row>
    <row r="277" spans="1:19">
      <c r="A277" s="1" t="s">
        <v>21</v>
      </c>
      <c r="C277" s="1">
        <v>4.669</v>
      </c>
      <c r="D277" s="1">
        <v>4.042</v>
      </c>
      <c r="E277" s="1">
        <v>0.576</v>
      </c>
      <c r="F277" s="1">
        <v>0.712</v>
      </c>
      <c r="G277" s="1">
        <v>8.008</v>
      </c>
      <c r="H277" s="1">
        <v>1.529</v>
      </c>
      <c r="I277" s="1">
        <v>2.727</v>
      </c>
      <c r="J277" s="1">
        <v>7.705</v>
      </c>
      <c r="K277" s="1">
        <v>7.854</v>
      </c>
      <c r="L277" s="1">
        <v>5.625</v>
      </c>
      <c r="M277" s="1">
        <v>7.092</v>
      </c>
      <c r="N277" s="1">
        <v>2.428</v>
      </c>
      <c r="O277" s="1">
        <v>3.196</v>
      </c>
      <c r="P277" s="1">
        <v>1.951</v>
      </c>
      <c r="Q277" s="1">
        <v>2.203</v>
      </c>
      <c r="R277" s="1">
        <v>1.865</v>
      </c>
      <c r="S277" s="1">
        <v>2.248</v>
      </c>
    </row>
    <row r="278" spans="1:19">
      <c r="A278" s="1" t="s">
        <v>22</v>
      </c>
      <c r="C278" s="1">
        <f>C277+D277+E277+F277+G277+H277+I277+J277+K277+L277+M277+N277+O277+P277+Q277+R277+S277</f>
        <v>64.43</v>
      </c>
    </row>
    <row r="279" spans="1:19">
      <c r="A279" s="1" t="s">
        <v>23</v>
      </c>
      <c r="C279" s="1">
        <v>2820</v>
      </c>
    </row>
    <row r="280" spans="1:19">
      <c r="A280" s="1" t="s">
        <v>24</v>
      </c>
      <c r="C280" s="3">
        <f>C278/C279</f>
        <v>0.0228475177304965</v>
      </c>
    </row>
    <row r="281" spans="1:19">
      <c r="A281" s="1" t="s">
        <v>25</v>
      </c>
      <c r="C281" s="3">
        <f>SUMIF(C270:S270,"Young",C277:S277)/C279</f>
        <v>0.0200078014184397</v>
      </c>
    </row>
    <row r="283" spans="1:19">
      <c r="C283" s="1">
        <f>(C280+C266+C252+C238+C224+C210+C196+C182+C168+C154+C140+C126+C112+C98+C84+C70+C56+C42+C28+C14)/20</f>
        <v>0.100255946064393</v>
      </c>
    </row>
  </sheetData>
  <mergeCells count="282">
    <mergeCell ref="A1:J1"/>
    <mergeCell ref="C2:J2"/>
    <mergeCell ref="A3:B3"/>
    <mergeCell ref="A4:B4"/>
    <mergeCell ref="A10:B10"/>
    <mergeCell ref="A11:B11"/>
    <mergeCell ref="A12:B12"/>
    <mergeCell ref="C12:J12"/>
    <mergeCell ref="A13:B13"/>
    <mergeCell ref="C13:J13"/>
    <mergeCell ref="A14:B14"/>
    <mergeCell ref="C14:J14"/>
    <mergeCell ref="A15:B15"/>
    <mergeCell ref="C15:J15"/>
    <mergeCell ref="C16:Q16"/>
    <mergeCell ref="A17:B17"/>
    <mergeCell ref="A18:B18"/>
    <mergeCell ref="A24:B24"/>
    <mergeCell ref="A25:B25"/>
    <mergeCell ref="A26:B26"/>
    <mergeCell ref="C26:Q26"/>
    <mergeCell ref="A27:B27"/>
    <mergeCell ref="C27:Q27"/>
    <mergeCell ref="A28:B28"/>
    <mergeCell ref="C28:Q28"/>
    <mergeCell ref="A29:B29"/>
    <mergeCell ref="C29:Q29"/>
    <mergeCell ref="C30:Y30"/>
    <mergeCell ref="A31:B31"/>
    <mergeCell ref="A32:B32"/>
    <mergeCell ref="A38:B38"/>
    <mergeCell ref="A39:B39"/>
    <mergeCell ref="A40:B40"/>
    <mergeCell ref="C40:Y40"/>
    <mergeCell ref="A41:B41"/>
    <mergeCell ref="C41:Y41"/>
    <mergeCell ref="A42:B42"/>
    <mergeCell ref="C42:Y42"/>
    <mergeCell ref="A43:B43"/>
    <mergeCell ref="C43:Y43"/>
    <mergeCell ref="C44:AM44"/>
    <mergeCell ref="A45:B45"/>
    <mergeCell ref="A46:B46"/>
    <mergeCell ref="A52:B52"/>
    <mergeCell ref="A53:B53"/>
    <mergeCell ref="A54:B54"/>
    <mergeCell ref="C54:AM54"/>
    <mergeCell ref="A55:B55"/>
    <mergeCell ref="C55:AM55"/>
    <mergeCell ref="A56:B56"/>
    <mergeCell ref="C56:AM56"/>
    <mergeCell ref="A57:B57"/>
    <mergeCell ref="C57:AM57"/>
    <mergeCell ref="C58:AK58"/>
    <mergeCell ref="A59:B59"/>
    <mergeCell ref="A60:B60"/>
    <mergeCell ref="A66:B66"/>
    <mergeCell ref="A67:B67"/>
    <mergeCell ref="A68:B68"/>
    <mergeCell ref="C68:AK68"/>
    <mergeCell ref="A69:B69"/>
    <mergeCell ref="C69:AK69"/>
    <mergeCell ref="A70:B70"/>
    <mergeCell ref="C70:AK70"/>
    <mergeCell ref="A71:B71"/>
    <mergeCell ref="C71:AK71"/>
    <mergeCell ref="C72:P72"/>
    <mergeCell ref="A73:B73"/>
    <mergeCell ref="A74:B74"/>
    <mergeCell ref="A80:B80"/>
    <mergeCell ref="A81:B81"/>
    <mergeCell ref="A82:B82"/>
    <mergeCell ref="C82:P82"/>
    <mergeCell ref="A83:B83"/>
    <mergeCell ref="C83:P83"/>
    <mergeCell ref="A84:B84"/>
    <mergeCell ref="C84:P84"/>
    <mergeCell ref="A85:B85"/>
    <mergeCell ref="C85:P85"/>
    <mergeCell ref="C86:AB86"/>
    <mergeCell ref="A87:B87"/>
    <mergeCell ref="A88:B88"/>
    <mergeCell ref="A94:B94"/>
    <mergeCell ref="A95:B95"/>
    <mergeCell ref="A96:B96"/>
    <mergeCell ref="C96:AB96"/>
    <mergeCell ref="A97:B97"/>
    <mergeCell ref="C97:AB97"/>
    <mergeCell ref="A98:B98"/>
    <mergeCell ref="C98:AB98"/>
    <mergeCell ref="A99:B99"/>
    <mergeCell ref="C99:AB99"/>
    <mergeCell ref="C100:AV100"/>
    <mergeCell ref="A101:B101"/>
    <mergeCell ref="A102:B102"/>
    <mergeCell ref="A108:B108"/>
    <mergeCell ref="A109:B109"/>
    <mergeCell ref="A110:B110"/>
    <mergeCell ref="C110:AV110"/>
    <mergeCell ref="A111:B111"/>
    <mergeCell ref="C111:AV111"/>
    <mergeCell ref="A112:B112"/>
    <mergeCell ref="C112:AV112"/>
    <mergeCell ref="A113:B113"/>
    <mergeCell ref="C113:AV113"/>
    <mergeCell ref="C114:AP114"/>
    <mergeCell ref="A115:B115"/>
    <mergeCell ref="A116:B116"/>
    <mergeCell ref="A122:B122"/>
    <mergeCell ref="A123:B123"/>
    <mergeCell ref="A124:B124"/>
    <mergeCell ref="C124:AP124"/>
    <mergeCell ref="A125:B125"/>
    <mergeCell ref="C125:AP125"/>
    <mergeCell ref="A126:B126"/>
    <mergeCell ref="C126:AP126"/>
    <mergeCell ref="A127:B127"/>
    <mergeCell ref="C127:AP127"/>
    <mergeCell ref="C128:J128"/>
    <mergeCell ref="A129:B129"/>
    <mergeCell ref="A130:B130"/>
    <mergeCell ref="A136:B136"/>
    <mergeCell ref="A137:B137"/>
    <mergeCell ref="A138:B138"/>
    <mergeCell ref="C138:J138"/>
    <mergeCell ref="A139:B139"/>
    <mergeCell ref="C139:J139"/>
    <mergeCell ref="A140:B140"/>
    <mergeCell ref="C140:J140"/>
    <mergeCell ref="A141:B141"/>
    <mergeCell ref="C141:J141"/>
    <mergeCell ref="C142:AC142"/>
    <mergeCell ref="A143:B143"/>
    <mergeCell ref="A144:B144"/>
    <mergeCell ref="A150:B150"/>
    <mergeCell ref="A151:B151"/>
    <mergeCell ref="A152:B152"/>
    <mergeCell ref="C152:AC152"/>
    <mergeCell ref="A153:B153"/>
    <mergeCell ref="C153:AC153"/>
    <mergeCell ref="A154:B154"/>
    <mergeCell ref="C154:AC154"/>
    <mergeCell ref="A155:B155"/>
    <mergeCell ref="C155:AC155"/>
    <mergeCell ref="C156:AC156"/>
    <mergeCell ref="A157:B157"/>
    <mergeCell ref="A158:B158"/>
    <mergeCell ref="A164:B164"/>
    <mergeCell ref="A165:B165"/>
    <mergeCell ref="A166:B166"/>
    <mergeCell ref="C166:AC166"/>
    <mergeCell ref="A167:B167"/>
    <mergeCell ref="C167:AC167"/>
    <mergeCell ref="A168:B168"/>
    <mergeCell ref="C168:AC168"/>
    <mergeCell ref="A169:B169"/>
    <mergeCell ref="C169:AC169"/>
    <mergeCell ref="C170:U170"/>
    <mergeCell ref="A171:B171"/>
    <mergeCell ref="A172:B172"/>
    <mergeCell ref="A178:B178"/>
    <mergeCell ref="A179:B179"/>
    <mergeCell ref="A180:B180"/>
    <mergeCell ref="C180:U180"/>
    <mergeCell ref="A181:B181"/>
    <mergeCell ref="C181:U181"/>
    <mergeCell ref="A182:B182"/>
    <mergeCell ref="C182:U182"/>
    <mergeCell ref="A183:B183"/>
    <mergeCell ref="C183:U183"/>
    <mergeCell ref="C184:BJ184"/>
    <mergeCell ref="A185:B185"/>
    <mergeCell ref="A186:B186"/>
    <mergeCell ref="A192:B192"/>
    <mergeCell ref="A193:B193"/>
    <mergeCell ref="A194:B194"/>
    <mergeCell ref="C194:BJ194"/>
    <mergeCell ref="A195:B195"/>
    <mergeCell ref="C195:BJ195"/>
    <mergeCell ref="A196:B196"/>
    <mergeCell ref="C196:BJ196"/>
    <mergeCell ref="A197:B197"/>
    <mergeCell ref="C197:BJ197"/>
    <mergeCell ref="C198:AF198"/>
    <mergeCell ref="A199:B199"/>
    <mergeCell ref="A200:B200"/>
    <mergeCell ref="A206:B206"/>
    <mergeCell ref="A207:B207"/>
    <mergeCell ref="A208:B208"/>
    <mergeCell ref="C208:AF208"/>
    <mergeCell ref="A209:B209"/>
    <mergeCell ref="C209:AF209"/>
    <mergeCell ref="A210:B210"/>
    <mergeCell ref="C210:AF210"/>
    <mergeCell ref="A211:B211"/>
    <mergeCell ref="C211:AF211"/>
    <mergeCell ref="C212:AW212"/>
    <mergeCell ref="A213:B213"/>
    <mergeCell ref="A214:B214"/>
    <mergeCell ref="A220:B220"/>
    <mergeCell ref="A221:B221"/>
    <mergeCell ref="A222:B222"/>
    <mergeCell ref="C222:AW222"/>
    <mergeCell ref="A223:B223"/>
    <mergeCell ref="C223:AW223"/>
    <mergeCell ref="A224:B224"/>
    <mergeCell ref="C224:AW224"/>
    <mergeCell ref="A225:B225"/>
    <mergeCell ref="C225:AW225"/>
    <mergeCell ref="C226:AE226"/>
    <mergeCell ref="A227:B227"/>
    <mergeCell ref="A228:B228"/>
    <mergeCell ref="A234:B234"/>
    <mergeCell ref="A235:B235"/>
    <mergeCell ref="A236:B236"/>
    <mergeCell ref="C236:AE236"/>
    <mergeCell ref="A237:B237"/>
    <mergeCell ref="C237:AE237"/>
    <mergeCell ref="A238:B238"/>
    <mergeCell ref="C238:AE238"/>
    <mergeCell ref="A239:B239"/>
    <mergeCell ref="C239:AE239"/>
    <mergeCell ref="C240:AP240"/>
    <mergeCell ref="A241:B241"/>
    <mergeCell ref="A242:B242"/>
    <mergeCell ref="A248:B248"/>
    <mergeCell ref="A249:B249"/>
    <mergeCell ref="A250:B250"/>
    <mergeCell ref="C250:AP250"/>
    <mergeCell ref="A251:B251"/>
    <mergeCell ref="C251:AP251"/>
    <mergeCell ref="A252:B252"/>
    <mergeCell ref="C252:AP252"/>
    <mergeCell ref="A253:B253"/>
    <mergeCell ref="C253:AP253"/>
    <mergeCell ref="C254:AC254"/>
    <mergeCell ref="A255:B255"/>
    <mergeCell ref="A256:B256"/>
    <mergeCell ref="A262:B262"/>
    <mergeCell ref="A263:B263"/>
    <mergeCell ref="A264:B264"/>
    <mergeCell ref="C264:AC264"/>
    <mergeCell ref="A265:B265"/>
    <mergeCell ref="C265:AC265"/>
    <mergeCell ref="A266:B266"/>
    <mergeCell ref="C266:AC266"/>
    <mergeCell ref="A267:B267"/>
    <mergeCell ref="C267:AC267"/>
    <mergeCell ref="C268:S268"/>
    <mergeCell ref="A269:B269"/>
    <mergeCell ref="A270:B270"/>
    <mergeCell ref="A276:B276"/>
    <mergeCell ref="A277:B277"/>
    <mergeCell ref="A278:B278"/>
    <mergeCell ref="C278:S278"/>
    <mergeCell ref="A279:B279"/>
    <mergeCell ref="C279:S279"/>
    <mergeCell ref="A280:B280"/>
    <mergeCell ref="C280:S280"/>
    <mergeCell ref="A281:B281"/>
    <mergeCell ref="C281:S281"/>
    <mergeCell ref="A5:A9"/>
    <mergeCell ref="A19:A23"/>
    <mergeCell ref="A33:A37"/>
    <mergeCell ref="A47:A51"/>
    <mergeCell ref="A61:A65"/>
    <mergeCell ref="A75:A79"/>
    <mergeCell ref="A89:A93"/>
    <mergeCell ref="A103:A107"/>
    <mergeCell ref="A117:A121"/>
    <mergeCell ref="A131:A135"/>
    <mergeCell ref="A145:A149"/>
    <mergeCell ref="A159:A163"/>
    <mergeCell ref="A173:A177"/>
    <mergeCell ref="A187:A191"/>
    <mergeCell ref="A201:A205"/>
    <mergeCell ref="A215:A219"/>
    <mergeCell ref="A229:A233"/>
    <mergeCell ref="A243:A247"/>
    <mergeCell ref="A257:A261"/>
    <mergeCell ref="A271:A275"/>
    <mergeCell ref="E5:E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1"/>
  <sheetViews>
    <sheetView zoomScale="145" zoomScaleNormal="145" workbookViewId="0">
      <pane ySplit="1" topLeftCell="A2" activePane="bottomLeft" state="frozen"/>
      <selection/>
      <selection pane="bottomLeft" activeCell="G1" sqref="G1"/>
    </sheetView>
  </sheetViews>
  <sheetFormatPr defaultColWidth="8.85245901639344" defaultRowHeight="17.65"/>
  <cols>
    <col min="1" max="1" width="14" customWidth="1"/>
    <col min="2" max="2" width="20" customWidth="1"/>
    <col min="3" max="3" width="27" customWidth="1"/>
    <col min="4" max="6" width="18" customWidth="1"/>
    <col min="7" max="7" width="17" customWidth="1"/>
    <col min="8" max="8" width="19" customWidth="1"/>
    <col min="9" max="10" width="16" customWidth="1"/>
    <col min="11" max="11" width="31" customWidth="1"/>
    <col min="12" max="13" width="18" customWidth="1"/>
    <col min="14" max="14" width="14" customWidth="1"/>
    <col min="15" max="15" width="20" customWidth="1"/>
    <col min="16" max="16" width="16" customWidth="1"/>
    <col min="17" max="17" width="19" customWidth="1"/>
    <col min="18" max="18" width="21" customWidth="1"/>
    <col min="19" max="19" width="26" customWidth="1"/>
    <col min="20" max="20" width="14" customWidth="1"/>
    <col min="21" max="21" width="19" customWidth="1"/>
    <col min="22" max="22" width="15" customWidth="1"/>
    <col min="23" max="23" width="19" customWidth="1"/>
    <col min="24" max="24" width="27" customWidth="1"/>
    <col min="25" max="25" width="33" customWidth="1"/>
    <col min="26" max="26" width="20" customWidth="1"/>
    <col min="27" max="27" width="17" customWidth="1"/>
    <col min="28" max="28" width="22" customWidth="1"/>
    <col min="29" max="29" width="17" customWidth="1"/>
    <col min="30" max="30" width="16" customWidth="1"/>
    <col min="31" max="32" width="14" customWidth="1"/>
    <col min="33" max="33" width="17" customWidth="1"/>
    <col min="34" max="34" width="23" customWidth="1"/>
    <col min="35" max="35" width="20" customWidth="1"/>
    <col min="36" max="36" width="32" customWidth="1"/>
    <col min="37" max="37" width="22" customWidth="1"/>
    <col min="38" max="38" width="21" customWidth="1"/>
    <col min="39" max="39" width="24" customWidth="1"/>
    <col min="40" max="40" width="19" customWidth="1"/>
    <col min="41" max="41" width="16" customWidth="1"/>
    <col min="42" max="42" width="20" customWidth="1"/>
    <col min="43" max="43" width="17" customWidth="1"/>
    <col min="44" max="44" width="26" customWidth="1"/>
    <col min="45" max="45" width="28" customWidth="1"/>
    <col min="46" max="46" width="27" customWidth="1"/>
    <col min="47" max="47" width="23" customWidth="1"/>
    <col min="48" max="48" width="32" customWidth="1"/>
  </cols>
  <sheetData>
    <row r="1" spans="1:48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481</v>
      </c>
      <c r="O1" s="1" t="s">
        <v>482</v>
      </c>
      <c r="P1" s="1" t="s">
        <v>483</v>
      </c>
      <c r="Q1" s="1" t="s">
        <v>484</v>
      </c>
      <c r="R1" s="1" t="s">
        <v>485</v>
      </c>
      <c r="S1" s="1" t="s">
        <v>486</v>
      </c>
      <c r="T1" s="1" t="s">
        <v>487</v>
      </c>
      <c r="U1" s="1" t="s">
        <v>488</v>
      </c>
      <c r="V1" s="1" t="s">
        <v>489</v>
      </c>
      <c r="W1" s="1" t="s">
        <v>490</v>
      </c>
      <c r="X1" s="1" t="s">
        <v>491</v>
      </c>
      <c r="Y1" s="1" t="s">
        <v>492</v>
      </c>
      <c r="Z1" s="1" t="s">
        <v>493</v>
      </c>
      <c r="AA1" s="1" t="s">
        <v>494</v>
      </c>
      <c r="AB1" s="1" t="s">
        <v>495</v>
      </c>
      <c r="AC1" s="1" t="s">
        <v>496</v>
      </c>
      <c r="AD1" s="1" t="s">
        <v>497</v>
      </c>
      <c r="AE1" s="1" t="s">
        <v>498</v>
      </c>
      <c r="AF1" s="1" t="s">
        <v>499</v>
      </c>
      <c r="AG1" s="1" t="s">
        <v>500</v>
      </c>
      <c r="AH1" s="1" t="s">
        <v>501</v>
      </c>
      <c r="AI1" s="1" t="s">
        <v>502</v>
      </c>
      <c r="AJ1" s="1" t="s">
        <v>503</v>
      </c>
      <c r="AK1" s="1" t="s">
        <v>504</v>
      </c>
      <c r="AL1" s="1" t="s">
        <v>505</v>
      </c>
      <c r="AM1" s="1" t="s">
        <v>506</v>
      </c>
      <c r="AN1" s="1" t="s">
        <v>507</v>
      </c>
      <c r="AO1" s="1" t="s">
        <v>508</v>
      </c>
      <c r="AP1" s="1" t="s">
        <v>509</v>
      </c>
      <c r="AQ1" s="1" t="s">
        <v>510</v>
      </c>
      <c r="AR1" s="1" t="s">
        <v>511</v>
      </c>
      <c r="AS1" s="1" t="s">
        <v>512</v>
      </c>
      <c r="AT1" s="1" t="s">
        <v>513</v>
      </c>
      <c r="AU1" s="1" t="s">
        <v>514</v>
      </c>
      <c r="AV1" s="1" t="s">
        <v>515</v>
      </c>
    </row>
    <row r="2" spans="1:48">
      <c r="A2" t="s">
        <v>1</v>
      </c>
      <c r="B2">
        <v>2</v>
      </c>
      <c r="C2">
        <v>4359</v>
      </c>
      <c r="D2">
        <v>3840</v>
      </c>
      <c r="E2">
        <v>4359</v>
      </c>
      <c r="F2">
        <v>4534</v>
      </c>
      <c r="G2">
        <v>4244.33333333333</v>
      </c>
      <c r="H2">
        <v>4359</v>
      </c>
      <c r="I2">
        <v>3840</v>
      </c>
      <c r="J2">
        <v>4534</v>
      </c>
      <c r="K2">
        <v>360.929817739313</v>
      </c>
      <c r="L2" t="s">
        <v>516</v>
      </c>
      <c r="M2" t="s">
        <v>517</v>
      </c>
      <c r="N2">
        <v>13.779</v>
      </c>
      <c r="O2">
        <v>0.316104611149346</v>
      </c>
      <c r="P2">
        <v>5</v>
      </c>
      <c r="Q2">
        <v>13.779</v>
      </c>
      <c r="R2">
        <v>100</v>
      </c>
      <c r="S2">
        <v>0.316104611149346</v>
      </c>
      <c r="T2">
        <v>11.5</v>
      </c>
      <c r="U2">
        <v>83.4603381958052</v>
      </c>
      <c r="V2">
        <v>2.852</v>
      </c>
      <c r="W2">
        <v>8.56</v>
      </c>
      <c r="X2">
        <v>24.8</v>
      </c>
      <c r="Y2">
        <v>27.454952853598</v>
      </c>
      <c r="Z2">
        <v>20.6981638725597</v>
      </c>
      <c r="AA2">
        <v>20.6981638725597</v>
      </c>
      <c r="AB2">
        <v>0.0654278504244093</v>
      </c>
      <c r="AC2">
        <v>0.5704</v>
      </c>
      <c r="AD2">
        <v>0.266</v>
      </c>
      <c r="AE2">
        <v>1.3954</v>
      </c>
      <c r="AF2">
        <v>1.84864</v>
      </c>
      <c r="AG2">
        <v>1.899</v>
      </c>
      <c r="AH2">
        <v>5</v>
      </c>
      <c r="AI2">
        <v>0</v>
      </c>
      <c r="AJ2">
        <v>0</v>
      </c>
      <c r="AK2">
        <v>0</v>
      </c>
      <c r="AL2">
        <v>5</v>
      </c>
      <c r="AM2">
        <v>4.121</v>
      </c>
      <c r="AN2">
        <v>5</v>
      </c>
      <c r="AO2">
        <v>3.1</v>
      </c>
      <c r="AP2">
        <v>4</v>
      </c>
      <c r="AQ2">
        <v>1.899</v>
      </c>
      <c r="AR2">
        <v>4</v>
      </c>
      <c r="AS2">
        <v>75.96</v>
      </c>
      <c r="AT2" t="s">
        <v>518</v>
      </c>
      <c r="AU2" t="s">
        <v>516</v>
      </c>
    </row>
    <row r="3" spans="1:48">
      <c r="A3" t="s">
        <v>26</v>
      </c>
      <c r="B3">
        <v>2</v>
      </c>
      <c r="C3">
        <v>2060</v>
      </c>
      <c r="D3">
        <v>2028</v>
      </c>
      <c r="E3">
        <v>2060</v>
      </c>
      <c r="F3">
        <v>2086</v>
      </c>
      <c r="G3">
        <v>2058</v>
      </c>
      <c r="H3">
        <v>2060</v>
      </c>
      <c r="I3">
        <v>2028</v>
      </c>
      <c r="J3">
        <v>2086</v>
      </c>
      <c r="K3">
        <v>29.0516780926679</v>
      </c>
      <c r="L3" t="s">
        <v>516</v>
      </c>
      <c r="M3" t="s">
        <v>517</v>
      </c>
      <c r="N3">
        <v>288.534</v>
      </c>
      <c r="O3">
        <v>14.0065048543689</v>
      </c>
      <c r="P3">
        <v>14</v>
      </c>
      <c r="Q3">
        <v>288.534</v>
      </c>
      <c r="R3">
        <v>100</v>
      </c>
      <c r="S3">
        <v>14.0065048543689</v>
      </c>
      <c r="T3">
        <v>276.6</v>
      </c>
      <c r="U3">
        <v>95.8639189835513</v>
      </c>
      <c r="V3">
        <v>10.623</v>
      </c>
      <c r="W3">
        <v>265.338</v>
      </c>
      <c r="X3">
        <v>3.84056399132321</v>
      </c>
      <c r="Y3">
        <v>12.0458772602219</v>
      </c>
      <c r="Z3">
        <v>3.68171515315353</v>
      </c>
      <c r="AA3">
        <v>3.68171515315353</v>
      </c>
      <c r="AB3">
        <v>0.515679611650485</v>
      </c>
      <c r="AC3">
        <v>0.758785714285714</v>
      </c>
      <c r="AD3">
        <v>0.0265</v>
      </c>
      <c r="AE3">
        <v>1.9068</v>
      </c>
      <c r="AF3">
        <v>5.51091</v>
      </c>
      <c r="AG3">
        <v>6.043</v>
      </c>
      <c r="AH3">
        <v>14</v>
      </c>
      <c r="AI3">
        <v>0</v>
      </c>
      <c r="AJ3">
        <v>0</v>
      </c>
      <c r="AK3">
        <v>0</v>
      </c>
      <c r="AL3">
        <v>13</v>
      </c>
      <c r="AM3">
        <v>67.714</v>
      </c>
      <c r="AN3">
        <v>13</v>
      </c>
      <c r="AO3">
        <v>67.2</v>
      </c>
      <c r="AP3">
        <v>3</v>
      </c>
      <c r="AQ3">
        <v>6.043</v>
      </c>
      <c r="AR3">
        <v>3</v>
      </c>
      <c r="AS3">
        <v>87.5797101449275</v>
      </c>
      <c r="AT3" t="s">
        <v>519</v>
      </c>
      <c r="AU3" t="s">
        <v>516</v>
      </c>
    </row>
    <row r="4" spans="1:48">
      <c r="A4" t="s">
        <v>41</v>
      </c>
      <c r="B4">
        <v>1</v>
      </c>
      <c r="C4">
        <v>6248</v>
      </c>
      <c r="D4">
        <v>6248</v>
      </c>
      <c r="E4">
        <v>6242</v>
      </c>
      <c r="F4">
        <v>6313</v>
      </c>
      <c r="G4">
        <v>6267.66666666667</v>
      </c>
      <c r="H4">
        <v>6248</v>
      </c>
      <c r="I4">
        <v>6242</v>
      </c>
      <c r="J4">
        <v>6313</v>
      </c>
      <c r="K4">
        <v>39.3742724800514</v>
      </c>
      <c r="L4" t="s">
        <v>516</v>
      </c>
      <c r="M4" t="s">
        <v>517</v>
      </c>
      <c r="N4">
        <v>270.75</v>
      </c>
      <c r="O4">
        <v>4.3333866837388</v>
      </c>
      <c r="P4">
        <v>22</v>
      </c>
      <c r="Q4">
        <v>270.75</v>
      </c>
      <c r="R4">
        <v>100</v>
      </c>
      <c r="S4">
        <v>4.3333866837388</v>
      </c>
      <c r="T4">
        <v>250.2</v>
      </c>
      <c r="U4">
        <v>92.409972299169</v>
      </c>
      <c r="V4">
        <v>67.991</v>
      </c>
      <c r="W4">
        <v>181.525</v>
      </c>
      <c r="X4">
        <v>27.1746602717826</v>
      </c>
      <c r="Y4">
        <v>30.407721057863</v>
      </c>
      <c r="Z4">
        <v>25.1120960295476</v>
      </c>
      <c r="AA4">
        <v>25.1120960295476</v>
      </c>
      <c r="AB4">
        <v>1.08820422535211</v>
      </c>
      <c r="AC4">
        <v>3.0905</v>
      </c>
      <c r="AD4">
        <v>0.091</v>
      </c>
      <c r="AE4">
        <v>9.41140000000001</v>
      </c>
      <c r="AF4">
        <v>17.72291</v>
      </c>
      <c r="AG4">
        <v>17.834</v>
      </c>
      <c r="AH4">
        <v>22</v>
      </c>
      <c r="AI4">
        <v>0</v>
      </c>
      <c r="AJ4">
        <v>0</v>
      </c>
      <c r="AK4">
        <v>0</v>
      </c>
      <c r="AL4">
        <v>16</v>
      </c>
      <c r="AM4">
        <v>39.282</v>
      </c>
      <c r="AN4">
        <v>17</v>
      </c>
      <c r="AO4">
        <v>37.7</v>
      </c>
      <c r="AP4">
        <v>13</v>
      </c>
      <c r="AQ4">
        <v>17.834</v>
      </c>
      <c r="AR4">
        <v>12</v>
      </c>
      <c r="AS4">
        <v>98.8857142857143</v>
      </c>
      <c r="AT4" t="s">
        <v>520</v>
      </c>
      <c r="AU4" t="s">
        <v>516</v>
      </c>
    </row>
    <row r="5" spans="1:48">
      <c r="A5" t="s">
        <v>60</v>
      </c>
      <c r="M5" t="s">
        <v>521</v>
      </c>
    </row>
    <row r="6" spans="1:48">
      <c r="A6" t="s">
        <v>99</v>
      </c>
      <c r="B6">
        <v>1</v>
      </c>
      <c r="C6">
        <v>16603</v>
      </c>
      <c r="D6">
        <v>16603</v>
      </c>
      <c r="E6">
        <v>17034</v>
      </c>
      <c r="F6">
        <v>15432</v>
      </c>
      <c r="G6">
        <v>16356.3333333333</v>
      </c>
      <c r="H6">
        <v>16603</v>
      </c>
      <c r="I6">
        <v>15432</v>
      </c>
      <c r="J6">
        <v>17034</v>
      </c>
      <c r="K6">
        <v>828.995979081523</v>
      </c>
      <c r="L6" t="s">
        <v>516</v>
      </c>
      <c r="M6" t="s">
        <v>517</v>
      </c>
      <c r="N6">
        <v>662.85</v>
      </c>
      <c r="O6">
        <v>3.99235077997952</v>
      </c>
      <c r="P6">
        <v>21</v>
      </c>
      <c r="Q6">
        <v>662.728</v>
      </c>
      <c r="R6">
        <v>99.9815946292525</v>
      </c>
      <c r="S6">
        <v>3.99161597301692</v>
      </c>
      <c r="T6">
        <v>634.6</v>
      </c>
      <c r="U6">
        <v>95.7557248222499</v>
      </c>
      <c r="V6">
        <v>153.484</v>
      </c>
      <c r="W6">
        <v>480.14</v>
      </c>
      <c r="X6">
        <v>24.1859439016703</v>
      </c>
      <c r="Y6">
        <v>16.4241930078548</v>
      </c>
      <c r="Z6">
        <v>23.1594258881472</v>
      </c>
      <c r="AA6">
        <v>23.1551633099495</v>
      </c>
      <c r="AB6">
        <v>0.924435343010299</v>
      </c>
      <c r="AC6">
        <v>7.30876190476191</v>
      </c>
      <c r="AD6">
        <v>0.051</v>
      </c>
      <c r="AE6">
        <v>24.439</v>
      </c>
      <c r="AF6">
        <v>40.8392</v>
      </c>
      <c r="AG6">
        <v>41.21</v>
      </c>
      <c r="AH6">
        <v>21</v>
      </c>
      <c r="AI6">
        <v>0</v>
      </c>
      <c r="AJ6">
        <v>0</v>
      </c>
      <c r="AK6">
        <v>0</v>
      </c>
      <c r="AL6">
        <v>23</v>
      </c>
      <c r="AM6">
        <v>77.113</v>
      </c>
      <c r="AN6">
        <v>23</v>
      </c>
      <c r="AO6">
        <v>75.9</v>
      </c>
      <c r="AP6">
        <v>23</v>
      </c>
      <c r="AQ6">
        <v>41.21</v>
      </c>
      <c r="AR6">
        <v>13</v>
      </c>
      <c r="AS6">
        <v>91.1902985074627</v>
      </c>
      <c r="AT6" t="s">
        <v>522</v>
      </c>
      <c r="AU6" t="s">
        <v>516</v>
      </c>
    </row>
    <row r="7" spans="1:48">
      <c r="A7" t="s">
        <v>134</v>
      </c>
      <c r="B7">
        <v>3</v>
      </c>
      <c r="C7">
        <v>1971</v>
      </c>
      <c r="D7">
        <v>2015</v>
      </c>
      <c r="E7">
        <v>1939</v>
      </c>
      <c r="F7">
        <v>1971</v>
      </c>
      <c r="G7">
        <v>1975</v>
      </c>
      <c r="H7">
        <v>1971</v>
      </c>
      <c r="I7">
        <v>1939</v>
      </c>
      <c r="J7">
        <v>2015</v>
      </c>
      <c r="K7">
        <v>38.1575680566778</v>
      </c>
      <c r="L7" t="s">
        <v>516</v>
      </c>
      <c r="M7" t="s">
        <v>517</v>
      </c>
      <c r="N7">
        <v>61.76</v>
      </c>
      <c r="O7">
        <v>3.13343480466768</v>
      </c>
      <c r="P7">
        <v>12</v>
      </c>
      <c r="Q7">
        <v>61.71</v>
      </c>
      <c r="R7">
        <v>99.9190414507772</v>
      </c>
      <c r="S7">
        <v>3.13089802130898</v>
      </c>
      <c r="T7">
        <v>44.1</v>
      </c>
      <c r="U7">
        <v>71.4632960622265</v>
      </c>
      <c r="V7">
        <v>2.41</v>
      </c>
      <c r="W7">
        <v>41.347</v>
      </c>
      <c r="X7">
        <v>5.46485260770975</v>
      </c>
      <c r="Y7">
        <v>4.29328571059331</v>
      </c>
      <c r="Z7">
        <v>3.90536379841193</v>
      </c>
      <c r="AA7">
        <v>3.90220207253886</v>
      </c>
      <c r="AB7">
        <v>0.122272957889396</v>
      </c>
      <c r="AC7">
        <v>0.200833333333333</v>
      </c>
      <c r="AD7">
        <v>0.0965</v>
      </c>
      <c r="AE7">
        <v>0.235</v>
      </c>
      <c r="AF7">
        <v>1.16249</v>
      </c>
      <c r="AG7">
        <v>1.277</v>
      </c>
      <c r="AH7">
        <v>12</v>
      </c>
      <c r="AI7">
        <v>0</v>
      </c>
      <c r="AJ7">
        <v>0</v>
      </c>
      <c r="AK7">
        <v>0</v>
      </c>
      <c r="AL7">
        <v>11</v>
      </c>
      <c r="AM7">
        <v>13.378</v>
      </c>
      <c r="AN7">
        <v>7</v>
      </c>
      <c r="AO7">
        <v>7</v>
      </c>
      <c r="AP7">
        <v>11</v>
      </c>
      <c r="AQ7">
        <v>1.277</v>
      </c>
      <c r="AR7">
        <v>11</v>
      </c>
      <c r="AS7">
        <v>18.7794117647059</v>
      </c>
      <c r="AT7" t="s">
        <v>523</v>
      </c>
      <c r="AU7" t="s">
        <v>516</v>
      </c>
    </row>
    <row r="8" spans="1:48">
      <c r="A8" t="s">
        <v>144</v>
      </c>
      <c r="B8">
        <v>2</v>
      </c>
      <c r="C8">
        <v>3986</v>
      </c>
      <c r="D8">
        <v>3998</v>
      </c>
      <c r="E8">
        <v>3986</v>
      </c>
      <c r="F8">
        <v>3790</v>
      </c>
      <c r="G8">
        <v>3924.66666666667</v>
      </c>
      <c r="H8">
        <v>3986</v>
      </c>
      <c r="I8">
        <v>3790</v>
      </c>
      <c r="J8">
        <v>3998</v>
      </c>
      <c r="K8">
        <v>116.778993544787</v>
      </c>
      <c r="L8" t="s">
        <v>516</v>
      </c>
      <c r="M8" t="s">
        <v>517</v>
      </c>
      <c r="N8">
        <v>132.071</v>
      </c>
      <c r="O8">
        <v>3.31337180130457</v>
      </c>
      <c r="P8">
        <v>22</v>
      </c>
      <c r="Q8">
        <v>132.019</v>
      </c>
      <c r="R8">
        <v>99.9606272383794</v>
      </c>
      <c r="S8">
        <v>3.31206723532363</v>
      </c>
      <c r="T8">
        <v>114.8</v>
      </c>
      <c r="U8">
        <v>86.9571804058507</v>
      </c>
      <c r="V8">
        <v>83.591</v>
      </c>
      <c r="W8">
        <v>30.085</v>
      </c>
      <c r="X8">
        <v>72.8144599303136</v>
      </c>
      <c r="Y8">
        <v>52.9540451046067</v>
      </c>
      <c r="Z8">
        <v>63.3174012831486</v>
      </c>
      <c r="AA8">
        <v>63.292471473677</v>
      </c>
      <c r="AB8">
        <v>2.09711490215755</v>
      </c>
      <c r="AC8">
        <v>3.79959090909091</v>
      </c>
      <c r="AD8">
        <v>1.9115</v>
      </c>
      <c r="AE8">
        <v>8.0989</v>
      </c>
      <c r="AF8">
        <v>8.55352</v>
      </c>
      <c r="AG8">
        <v>8.656</v>
      </c>
      <c r="AH8">
        <v>22</v>
      </c>
      <c r="AI8">
        <v>0</v>
      </c>
      <c r="AJ8">
        <v>0</v>
      </c>
      <c r="AK8">
        <v>0</v>
      </c>
      <c r="AL8">
        <v>20</v>
      </c>
      <c r="AM8">
        <v>11.266</v>
      </c>
      <c r="AN8">
        <v>9</v>
      </c>
      <c r="AO8">
        <v>10.3</v>
      </c>
      <c r="AP8">
        <v>16</v>
      </c>
      <c r="AQ8">
        <v>8.656</v>
      </c>
      <c r="AR8">
        <v>16</v>
      </c>
      <c r="AS8">
        <v>96.1777777777778</v>
      </c>
      <c r="AT8" t="s">
        <v>524</v>
      </c>
      <c r="AU8" t="s">
        <v>516</v>
      </c>
    </row>
    <row r="9" spans="1:48">
      <c r="A9" t="s">
        <v>168</v>
      </c>
      <c r="B9">
        <v>1</v>
      </c>
      <c r="C9">
        <v>4560</v>
      </c>
      <c r="D9">
        <v>4560</v>
      </c>
      <c r="E9">
        <v>4596</v>
      </c>
      <c r="F9">
        <v>4513</v>
      </c>
      <c r="G9">
        <v>4556.33333333333</v>
      </c>
      <c r="H9">
        <v>4560</v>
      </c>
      <c r="I9">
        <v>4513</v>
      </c>
      <c r="J9">
        <v>4596</v>
      </c>
      <c r="K9">
        <v>41.6213086451319</v>
      </c>
      <c r="L9" t="s">
        <v>516</v>
      </c>
      <c r="M9" t="s">
        <v>517</v>
      </c>
      <c r="N9">
        <v>896.81</v>
      </c>
      <c r="O9">
        <v>19.6668859649123</v>
      </c>
      <c r="P9">
        <v>11</v>
      </c>
      <c r="Q9">
        <v>896.81</v>
      </c>
      <c r="R9">
        <v>100</v>
      </c>
      <c r="S9">
        <v>19.6668859649123</v>
      </c>
      <c r="T9">
        <v>883.1</v>
      </c>
      <c r="U9">
        <v>98.471248090454</v>
      </c>
      <c r="V9">
        <v>0.69</v>
      </c>
      <c r="W9">
        <v>881.611</v>
      </c>
      <c r="X9">
        <v>0.0781338466764806</v>
      </c>
      <c r="Y9">
        <v>0.0991180375478738</v>
      </c>
      <c r="Z9">
        <v>0.0769393740034121</v>
      </c>
      <c r="AA9">
        <v>0.0769393740034121</v>
      </c>
      <c r="AB9">
        <v>0.0151315789473684</v>
      </c>
      <c r="AC9">
        <v>0.0627272727272727</v>
      </c>
      <c r="AD9">
        <v>0.038</v>
      </c>
      <c r="AE9">
        <v>0.136</v>
      </c>
      <c r="AF9">
        <v>0.244</v>
      </c>
      <c r="AG9">
        <v>0.256</v>
      </c>
      <c r="AH9">
        <v>11</v>
      </c>
      <c r="AI9">
        <v>0</v>
      </c>
      <c r="AJ9">
        <v>0</v>
      </c>
      <c r="AK9">
        <v>0</v>
      </c>
      <c r="AL9">
        <v>42</v>
      </c>
      <c r="AM9">
        <v>136.195</v>
      </c>
      <c r="AN9">
        <v>42</v>
      </c>
      <c r="AO9">
        <v>135.2</v>
      </c>
      <c r="AP9">
        <v>35</v>
      </c>
      <c r="AQ9">
        <v>0.256</v>
      </c>
      <c r="AR9">
        <v>35</v>
      </c>
      <c r="AS9">
        <v>0.395061728395062</v>
      </c>
      <c r="AT9" t="s">
        <v>525</v>
      </c>
      <c r="AU9" t="s">
        <v>516</v>
      </c>
    </row>
    <row r="10" spans="1:48">
      <c r="A10" t="s">
        <v>214</v>
      </c>
      <c r="B10">
        <v>3</v>
      </c>
      <c r="C10">
        <v>3963</v>
      </c>
      <c r="D10">
        <v>3772</v>
      </c>
      <c r="E10">
        <v>4057</v>
      </c>
      <c r="F10">
        <v>3963</v>
      </c>
      <c r="G10">
        <v>3930.66666666667</v>
      </c>
      <c r="H10">
        <v>3963</v>
      </c>
      <c r="I10">
        <v>3772</v>
      </c>
      <c r="J10">
        <v>4057</v>
      </c>
      <c r="K10">
        <v>145.225112612569</v>
      </c>
      <c r="L10" t="s">
        <v>516</v>
      </c>
      <c r="M10" t="s">
        <v>517</v>
      </c>
      <c r="N10">
        <v>148.918</v>
      </c>
      <c r="O10">
        <v>3.75770880645975</v>
      </c>
      <c r="P10">
        <v>28</v>
      </c>
      <c r="Q10">
        <v>148.918</v>
      </c>
      <c r="R10">
        <v>100</v>
      </c>
      <c r="S10">
        <v>3.75770880645975</v>
      </c>
      <c r="T10">
        <v>126.5</v>
      </c>
      <c r="U10">
        <v>84.9460777071946</v>
      </c>
      <c r="V10">
        <v>10.16</v>
      </c>
      <c r="W10">
        <v>114.891</v>
      </c>
      <c r="X10">
        <v>8.03162055335968</v>
      </c>
      <c r="Y10">
        <v>9.00200635706585</v>
      </c>
      <c r="Z10">
        <v>6.82254663640393</v>
      </c>
      <c r="AA10">
        <v>6.82254663640393</v>
      </c>
      <c r="AB10">
        <v>0.256371435780974</v>
      </c>
      <c r="AC10">
        <v>0.362857142857143</v>
      </c>
      <c r="AD10">
        <v>0.1455</v>
      </c>
      <c r="AE10">
        <v>0.8995</v>
      </c>
      <c r="AF10">
        <v>1.86996</v>
      </c>
      <c r="AG10">
        <v>2.127</v>
      </c>
      <c r="AH10">
        <v>28</v>
      </c>
      <c r="AI10">
        <v>0</v>
      </c>
      <c r="AJ10">
        <v>0</v>
      </c>
      <c r="AK10">
        <v>0</v>
      </c>
      <c r="AL10">
        <v>12</v>
      </c>
      <c r="AM10">
        <v>12.411</v>
      </c>
      <c r="AN10">
        <v>12</v>
      </c>
      <c r="AO10">
        <v>11.6</v>
      </c>
      <c r="AP10">
        <v>33</v>
      </c>
      <c r="AQ10">
        <v>2.127</v>
      </c>
      <c r="AR10">
        <v>33</v>
      </c>
      <c r="AS10">
        <v>48.3409090909091</v>
      </c>
      <c r="AT10" t="s">
        <v>526</v>
      </c>
      <c r="AU10" t="s">
        <v>516</v>
      </c>
    </row>
    <row r="11" spans="1:48">
      <c r="A11" t="s">
        <v>253</v>
      </c>
      <c r="B11">
        <v>1</v>
      </c>
      <c r="C11">
        <v>7254</v>
      </c>
      <c r="D11">
        <v>7254</v>
      </c>
      <c r="E11">
        <v>7241</v>
      </c>
      <c r="F11">
        <v>7258</v>
      </c>
      <c r="G11">
        <v>7251</v>
      </c>
      <c r="H11">
        <v>7254</v>
      </c>
      <c r="I11">
        <v>7241</v>
      </c>
      <c r="J11">
        <v>7258</v>
      </c>
      <c r="K11">
        <v>8.88819441731559</v>
      </c>
      <c r="L11" t="s">
        <v>516</v>
      </c>
      <c r="M11" t="s">
        <v>517</v>
      </c>
      <c r="N11">
        <v>32.396</v>
      </c>
      <c r="O11">
        <v>0.446594982078853</v>
      </c>
      <c r="P11">
        <v>7</v>
      </c>
      <c r="Q11">
        <v>18.328</v>
      </c>
      <c r="R11">
        <v>56.5748857883689</v>
      </c>
      <c r="S11">
        <v>0.252660601047698</v>
      </c>
      <c r="T11">
        <v>14.6</v>
      </c>
      <c r="U11">
        <v>79.6595373199476</v>
      </c>
      <c r="V11">
        <v>1.549</v>
      </c>
      <c r="W11">
        <v>12.675</v>
      </c>
      <c r="X11">
        <v>10.6095890410959</v>
      </c>
      <c r="Y11">
        <v>8.95927692398281</v>
      </c>
      <c r="Z11">
        <v>8.45154954168486</v>
      </c>
      <c r="AA11">
        <v>4.78145450055562</v>
      </c>
      <c r="AB11">
        <v>0.0213537358698649</v>
      </c>
      <c r="AC11">
        <v>0.221285714285714</v>
      </c>
      <c r="AD11">
        <v>0.107</v>
      </c>
      <c r="AE11">
        <v>0.5254</v>
      </c>
      <c r="AF11">
        <v>1.04434</v>
      </c>
      <c r="AG11">
        <v>1.102</v>
      </c>
      <c r="AH11">
        <v>7</v>
      </c>
      <c r="AI11">
        <v>0</v>
      </c>
      <c r="AJ11">
        <v>0</v>
      </c>
      <c r="AK11">
        <v>0</v>
      </c>
      <c r="AL11">
        <v>7</v>
      </c>
      <c r="AM11">
        <v>4.703</v>
      </c>
      <c r="AN11">
        <v>7</v>
      </c>
      <c r="AO11">
        <v>3.7</v>
      </c>
      <c r="AP11">
        <v>7</v>
      </c>
      <c r="AQ11">
        <v>1.102</v>
      </c>
      <c r="AR11">
        <v>7</v>
      </c>
      <c r="AS11">
        <v>29.7837837837838</v>
      </c>
      <c r="AT11" t="s">
        <v>527</v>
      </c>
      <c r="AU11" t="s">
        <v>516</v>
      </c>
    </row>
    <row r="12" spans="1:48">
      <c r="A12" t="s">
        <v>259</v>
      </c>
      <c r="B12">
        <v>1</v>
      </c>
      <c r="C12">
        <v>5701</v>
      </c>
      <c r="D12">
        <v>5701</v>
      </c>
      <c r="E12">
        <v>5733</v>
      </c>
      <c r="F12">
        <v>5649</v>
      </c>
      <c r="G12">
        <v>5694.33333333333</v>
      </c>
      <c r="H12">
        <v>5701</v>
      </c>
      <c r="I12">
        <v>5649</v>
      </c>
      <c r="J12">
        <v>5733</v>
      </c>
      <c r="K12">
        <v>42.3949682548924</v>
      </c>
      <c r="L12" t="s">
        <v>516</v>
      </c>
      <c r="M12" t="s">
        <v>517</v>
      </c>
      <c r="N12">
        <v>157.139</v>
      </c>
      <c r="O12">
        <v>2.75634099280828</v>
      </c>
      <c r="P12">
        <v>19</v>
      </c>
      <c r="Q12">
        <v>157.139</v>
      </c>
      <c r="R12">
        <v>100</v>
      </c>
      <c r="S12">
        <v>2.75634099280828</v>
      </c>
      <c r="T12">
        <v>110.9</v>
      </c>
      <c r="U12">
        <v>70.5744595549163</v>
      </c>
      <c r="V12">
        <v>2.104</v>
      </c>
      <c r="W12">
        <v>82.993</v>
      </c>
      <c r="X12">
        <v>1.89720468890893</v>
      </c>
      <c r="Y12">
        <v>5.97935889542559</v>
      </c>
      <c r="Z12">
        <v>1.33894195584801</v>
      </c>
      <c r="AA12">
        <v>1.33894195584801</v>
      </c>
      <c r="AB12">
        <v>0.0369058059989476</v>
      </c>
      <c r="AC12">
        <v>0.110736842105263</v>
      </c>
      <c r="AD12">
        <v>0.01</v>
      </c>
      <c r="AE12">
        <v>0.4554</v>
      </c>
      <c r="AF12">
        <v>0.66752</v>
      </c>
      <c r="AG12">
        <v>0.683</v>
      </c>
      <c r="AH12">
        <v>19</v>
      </c>
      <c r="AI12">
        <v>0</v>
      </c>
      <c r="AJ12">
        <v>0</v>
      </c>
      <c r="AK12">
        <v>0</v>
      </c>
      <c r="AL12">
        <v>25</v>
      </c>
      <c r="AM12">
        <v>33.445</v>
      </c>
      <c r="AN12">
        <v>29</v>
      </c>
      <c r="AO12">
        <v>25.3</v>
      </c>
      <c r="AP12">
        <v>30</v>
      </c>
      <c r="AQ12">
        <v>0.683</v>
      </c>
      <c r="AR12">
        <v>30</v>
      </c>
      <c r="AS12">
        <v>68.3</v>
      </c>
      <c r="AT12" t="s">
        <v>528</v>
      </c>
      <c r="AU12" t="s">
        <v>516</v>
      </c>
    </row>
    <row r="13" spans="1:48">
      <c r="A13" t="s">
        <v>280</v>
      </c>
      <c r="B13">
        <v>2</v>
      </c>
      <c r="C13">
        <v>6500</v>
      </c>
      <c r="D13">
        <v>6382</v>
      </c>
      <c r="E13">
        <v>6500</v>
      </c>
      <c r="F13">
        <v>6572</v>
      </c>
      <c r="G13">
        <v>6484.66666666667</v>
      </c>
      <c r="H13">
        <v>6500</v>
      </c>
      <c r="I13">
        <v>6382</v>
      </c>
      <c r="J13">
        <v>6572</v>
      </c>
      <c r="K13">
        <v>95.9235806949122</v>
      </c>
      <c r="L13" t="s">
        <v>516</v>
      </c>
      <c r="M13" t="s">
        <v>517</v>
      </c>
      <c r="N13">
        <v>103.84</v>
      </c>
      <c r="O13">
        <v>1.59753846153846</v>
      </c>
      <c r="P13">
        <v>13</v>
      </c>
      <c r="Q13">
        <v>103.672</v>
      </c>
      <c r="R13">
        <v>99.8382126348228</v>
      </c>
      <c r="S13">
        <v>1.59495384615385</v>
      </c>
      <c r="T13">
        <v>93.3</v>
      </c>
      <c r="U13">
        <v>89.9953700131183</v>
      </c>
      <c r="V13">
        <v>0.768</v>
      </c>
      <c r="W13">
        <v>92.067</v>
      </c>
      <c r="X13">
        <v>0.823151125401929</v>
      </c>
      <c r="Y13">
        <v>1.32489500433939</v>
      </c>
      <c r="Z13">
        <v>0.740797901072614</v>
      </c>
      <c r="AA13">
        <v>0.73959938366718</v>
      </c>
      <c r="AB13">
        <v>0.0118153846153846</v>
      </c>
      <c r="AC13">
        <v>0.0590769230769231</v>
      </c>
      <c r="AD13">
        <v>0.041</v>
      </c>
      <c r="AE13">
        <v>0.1324</v>
      </c>
      <c r="AF13">
        <v>0.14516</v>
      </c>
      <c r="AG13">
        <v>0.146</v>
      </c>
      <c r="AH13">
        <v>13</v>
      </c>
      <c r="AI13">
        <v>0</v>
      </c>
      <c r="AJ13">
        <v>0</v>
      </c>
      <c r="AK13">
        <v>0</v>
      </c>
      <c r="AL13">
        <v>17</v>
      </c>
      <c r="AM13">
        <v>24.567</v>
      </c>
      <c r="AN13">
        <v>17</v>
      </c>
      <c r="AO13">
        <v>23.5</v>
      </c>
      <c r="AP13">
        <v>21</v>
      </c>
      <c r="AQ13">
        <v>0.146</v>
      </c>
      <c r="AR13">
        <v>22</v>
      </c>
      <c r="AS13">
        <v>3.08888888888889</v>
      </c>
      <c r="AT13" t="s">
        <v>529</v>
      </c>
      <c r="AU13" t="s">
        <v>516</v>
      </c>
    </row>
    <row r="14" spans="1:48">
      <c r="A14" t="s">
        <v>303</v>
      </c>
      <c r="B14">
        <v>2</v>
      </c>
      <c r="C14">
        <v>4246</v>
      </c>
      <c r="D14">
        <v>4357</v>
      </c>
      <c r="E14">
        <v>4246</v>
      </c>
      <c r="F14">
        <v>4205</v>
      </c>
      <c r="G14">
        <v>4269.33333333333</v>
      </c>
      <c r="H14">
        <v>4246</v>
      </c>
      <c r="I14">
        <v>4205</v>
      </c>
      <c r="J14">
        <v>4357</v>
      </c>
      <c r="K14">
        <v>78.6405323820569</v>
      </c>
      <c r="L14" t="s">
        <v>516</v>
      </c>
      <c r="M14" t="s">
        <v>517</v>
      </c>
      <c r="N14">
        <v>44.528</v>
      </c>
      <c r="O14">
        <v>1.04870466321244</v>
      </c>
      <c r="P14">
        <v>18</v>
      </c>
      <c r="Q14">
        <v>44.528</v>
      </c>
      <c r="R14">
        <v>100</v>
      </c>
      <c r="S14">
        <v>1.04870466321244</v>
      </c>
      <c r="T14">
        <v>36.4</v>
      </c>
      <c r="U14">
        <v>81.7463169241825</v>
      </c>
      <c r="V14">
        <v>7.665</v>
      </c>
      <c r="W14">
        <v>28.16</v>
      </c>
      <c r="X14">
        <v>21.0576923076923</v>
      </c>
      <c r="Y14">
        <v>18.1755030962151</v>
      </c>
      <c r="Z14">
        <v>17.2138878907654</v>
      </c>
      <c r="AA14">
        <v>17.2138878907654</v>
      </c>
      <c r="AB14">
        <v>0.180522845030617</v>
      </c>
      <c r="AC14">
        <v>0.425833333333333</v>
      </c>
      <c r="AD14">
        <v>0.1185</v>
      </c>
      <c r="AE14">
        <v>1.2467</v>
      </c>
      <c r="AF14">
        <v>2.55233</v>
      </c>
      <c r="AG14">
        <v>2.612</v>
      </c>
      <c r="AH14">
        <v>18</v>
      </c>
      <c r="AI14">
        <v>0</v>
      </c>
      <c r="AJ14">
        <v>0</v>
      </c>
      <c r="AK14">
        <v>0</v>
      </c>
      <c r="AL14">
        <v>13</v>
      </c>
      <c r="AM14">
        <v>5.044</v>
      </c>
      <c r="AN14">
        <v>13</v>
      </c>
      <c r="AO14">
        <v>4.6</v>
      </c>
      <c r="AP14">
        <v>7</v>
      </c>
      <c r="AQ14">
        <v>2.612</v>
      </c>
      <c r="AR14">
        <v>8</v>
      </c>
      <c r="AS14">
        <v>64.6</v>
      </c>
      <c r="AT14" t="s">
        <v>530</v>
      </c>
      <c r="AU14" t="s">
        <v>516</v>
      </c>
    </row>
    <row r="15" spans="1:48">
      <c r="A15" t="s">
        <v>318</v>
      </c>
      <c r="B15">
        <v>3</v>
      </c>
      <c r="C15">
        <v>3094</v>
      </c>
      <c r="D15">
        <v>3128</v>
      </c>
      <c r="E15">
        <v>3068</v>
      </c>
      <c r="F15">
        <v>3094</v>
      </c>
      <c r="G15">
        <v>3096.66666666667</v>
      </c>
      <c r="H15">
        <v>3094</v>
      </c>
      <c r="I15">
        <v>3068</v>
      </c>
      <c r="J15">
        <v>3128</v>
      </c>
      <c r="K15">
        <v>30.0887575903914</v>
      </c>
      <c r="L15" t="s">
        <v>516</v>
      </c>
      <c r="M15" t="s">
        <v>517</v>
      </c>
      <c r="N15">
        <v>79.665</v>
      </c>
      <c r="O15">
        <v>2.57482223658694</v>
      </c>
      <c r="P15">
        <v>41</v>
      </c>
      <c r="Q15">
        <v>79.665</v>
      </c>
      <c r="R15">
        <v>100</v>
      </c>
      <c r="S15">
        <v>2.57482223658694</v>
      </c>
      <c r="T15">
        <v>50.6</v>
      </c>
      <c r="U15">
        <v>63.5159731375133</v>
      </c>
      <c r="V15">
        <v>1.316</v>
      </c>
      <c r="W15">
        <v>47.481</v>
      </c>
      <c r="X15">
        <v>2.60079051383399</v>
      </c>
      <c r="Y15">
        <v>4.125956426382</v>
      </c>
      <c r="Z15">
        <v>1.65191740412979</v>
      </c>
      <c r="AA15">
        <v>1.65191740412979</v>
      </c>
      <c r="AB15">
        <v>0.0425339366515837</v>
      </c>
      <c r="AC15">
        <v>0.0320975609756098</v>
      </c>
      <c r="AD15">
        <v>0.028</v>
      </c>
      <c r="AE15">
        <v>0.045</v>
      </c>
      <c r="AF15">
        <v>0.0716</v>
      </c>
      <c r="AG15">
        <v>0.08</v>
      </c>
      <c r="AH15">
        <v>41</v>
      </c>
      <c r="AI15">
        <v>0</v>
      </c>
      <c r="AJ15">
        <v>0</v>
      </c>
      <c r="AK15">
        <v>0</v>
      </c>
      <c r="AL15">
        <v>24</v>
      </c>
      <c r="AM15">
        <v>4.997</v>
      </c>
      <c r="AN15">
        <v>9</v>
      </c>
      <c r="AO15">
        <v>3.6</v>
      </c>
      <c r="AP15">
        <v>9</v>
      </c>
      <c r="AQ15">
        <v>0.08</v>
      </c>
      <c r="AR15">
        <v>47</v>
      </c>
      <c r="AS15">
        <v>11</v>
      </c>
      <c r="AT15" t="s">
        <v>531</v>
      </c>
      <c r="AU15" t="s">
        <v>516</v>
      </c>
    </row>
    <row r="16" spans="1:48">
      <c r="A16" t="s">
        <v>334</v>
      </c>
      <c r="B16">
        <v>3</v>
      </c>
      <c r="C16">
        <v>4970</v>
      </c>
      <c r="D16">
        <v>4885</v>
      </c>
      <c r="E16">
        <v>5074</v>
      </c>
      <c r="F16">
        <v>4970</v>
      </c>
      <c r="G16">
        <v>4976.33333333333</v>
      </c>
      <c r="H16">
        <v>4970</v>
      </c>
      <c r="I16">
        <v>4885</v>
      </c>
      <c r="J16">
        <v>5074</v>
      </c>
      <c r="K16">
        <v>94.6590372512489</v>
      </c>
      <c r="L16" t="s">
        <v>516</v>
      </c>
      <c r="M16" t="s">
        <v>517</v>
      </c>
      <c r="N16">
        <v>922.782</v>
      </c>
      <c r="O16">
        <v>18.5670422535211</v>
      </c>
      <c r="P16">
        <v>23</v>
      </c>
      <c r="Q16">
        <v>922.702</v>
      </c>
      <c r="R16">
        <v>99.9913305634484</v>
      </c>
      <c r="S16">
        <v>18.5654325955734</v>
      </c>
      <c r="T16">
        <v>896.7</v>
      </c>
      <c r="U16">
        <v>97.1819720776589</v>
      </c>
      <c r="V16">
        <v>8.714</v>
      </c>
      <c r="W16">
        <v>887.023</v>
      </c>
      <c r="X16">
        <v>0.97178543548567</v>
      </c>
      <c r="Y16">
        <v>3.81271576209917</v>
      </c>
      <c r="Z16">
        <v>0.944400250568439</v>
      </c>
      <c r="AA16">
        <v>0.944318376387923</v>
      </c>
      <c r="AB16">
        <v>0.17533199195171</v>
      </c>
      <c r="AC16">
        <v>0.378869565217391</v>
      </c>
      <c r="AD16">
        <v>0.064</v>
      </c>
      <c r="AE16">
        <v>0.8166</v>
      </c>
      <c r="AF16">
        <v>2.32042</v>
      </c>
      <c r="AG16">
        <v>2.384</v>
      </c>
      <c r="AH16">
        <v>23</v>
      </c>
      <c r="AI16">
        <v>0</v>
      </c>
      <c r="AJ16">
        <v>0</v>
      </c>
      <c r="AK16">
        <v>0</v>
      </c>
      <c r="AL16">
        <v>26</v>
      </c>
      <c r="AM16">
        <v>143.137</v>
      </c>
      <c r="AN16">
        <v>26</v>
      </c>
      <c r="AO16">
        <v>142.2</v>
      </c>
      <c r="AP16">
        <v>17</v>
      </c>
      <c r="AQ16">
        <v>2.384</v>
      </c>
      <c r="AR16">
        <v>3</v>
      </c>
      <c r="AS16">
        <v>30.5</v>
      </c>
      <c r="AT16" t="s">
        <v>532</v>
      </c>
      <c r="AU16" t="s">
        <v>516</v>
      </c>
    </row>
    <row r="17" spans="1:47">
      <c r="A17" t="s">
        <v>358</v>
      </c>
      <c r="B17">
        <v>3</v>
      </c>
      <c r="C17">
        <v>4649</v>
      </c>
      <c r="D17">
        <v>4756</v>
      </c>
      <c r="E17">
        <v>4548</v>
      </c>
      <c r="F17">
        <v>4649</v>
      </c>
      <c r="G17">
        <v>4651</v>
      </c>
      <c r="H17">
        <v>4649</v>
      </c>
      <c r="I17">
        <v>4548</v>
      </c>
      <c r="J17">
        <v>4756</v>
      </c>
      <c r="K17">
        <v>104.014422076941</v>
      </c>
      <c r="L17" t="s">
        <v>516</v>
      </c>
      <c r="M17" t="s">
        <v>517</v>
      </c>
      <c r="N17">
        <v>222.836</v>
      </c>
      <c r="O17">
        <v>4.79320283932028</v>
      </c>
      <c r="P17">
        <v>20</v>
      </c>
      <c r="Q17">
        <v>222.836</v>
      </c>
      <c r="R17">
        <v>100</v>
      </c>
      <c r="S17">
        <v>4.79320283932028</v>
      </c>
      <c r="T17">
        <v>193.2</v>
      </c>
      <c r="U17">
        <v>86.7005331275018</v>
      </c>
      <c r="V17">
        <v>0.458</v>
      </c>
      <c r="W17">
        <v>191.763</v>
      </c>
      <c r="X17">
        <v>0.237060041407868</v>
      </c>
      <c r="Y17">
        <v>0.244243605905461</v>
      </c>
      <c r="Z17">
        <v>0.205532319732898</v>
      </c>
      <c r="AA17">
        <v>0.205532319732898</v>
      </c>
      <c r="AB17">
        <v>0.0098515809851581</v>
      </c>
      <c r="AC17">
        <v>0.0229</v>
      </c>
      <c r="AD17">
        <v>0.0185</v>
      </c>
      <c r="AE17">
        <v>0.0394</v>
      </c>
      <c r="AF17">
        <v>0.04462</v>
      </c>
      <c r="AG17">
        <v>0.045</v>
      </c>
      <c r="AH17">
        <v>20</v>
      </c>
      <c r="AI17">
        <v>0</v>
      </c>
      <c r="AJ17">
        <v>0</v>
      </c>
      <c r="AK17">
        <v>0</v>
      </c>
      <c r="AL17">
        <v>41</v>
      </c>
      <c r="AM17">
        <v>16.654</v>
      </c>
      <c r="AN17">
        <v>41</v>
      </c>
      <c r="AO17">
        <v>13.9</v>
      </c>
      <c r="AP17">
        <v>41</v>
      </c>
      <c r="AQ17">
        <v>0.045</v>
      </c>
      <c r="AR17">
        <v>45</v>
      </c>
      <c r="AS17">
        <v>0.452631578947368</v>
      </c>
      <c r="AT17" t="s">
        <v>533</v>
      </c>
      <c r="AU17" t="s">
        <v>516</v>
      </c>
    </row>
    <row r="18" spans="1:47">
      <c r="A18" t="s">
        <v>393</v>
      </c>
      <c r="B18">
        <v>3</v>
      </c>
      <c r="C18">
        <v>3533</v>
      </c>
      <c r="D18">
        <v>3544</v>
      </c>
      <c r="E18">
        <v>3501</v>
      </c>
      <c r="F18">
        <v>3533</v>
      </c>
      <c r="G18">
        <v>3526</v>
      </c>
      <c r="H18">
        <v>3533</v>
      </c>
      <c r="I18">
        <v>3501</v>
      </c>
      <c r="J18">
        <v>3544</v>
      </c>
      <c r="K18">
        <v>22.3383079036887</v>
      </c>
      <c r="L18" t="s">
        <v>516</v>
      </c>
      <c r="M18" t="s">
        <v>517</v>
      </c>
      <c r="N18">
        <v>173.918</v>
      </c>
      <c r="O18">
        <v>4.92267195018398</v>
      </c>
      <c r="P18">
        <v>26</v>
      </c>
      <c r="Q18">
        <v>173.918</v>
      </c>
      <c r="R18">
        <v>100</v>
      </c>
      <c r="S18">
        <v>4.92267195018398</v>
      </c>
      <c r="T18">
        <v>154.3</v>
      </c>
      <c r="U18">
        <v>88.7199714808128</v>
      </c>
      <c r="V18">
        <v>16.423</v>
      </c>
      <c r="W18">
        <v>136.676</v>
      </c>
      <c r="X18">
        <v>10.6435515230071</v>
      </c>
      <c r="Y18">
        <v>12.422094155669</v>
      </c>
      <c r="Z18">
        <v>9.44295587575754</v>
      </c>
      <c r="AA18">
        <v>9.44295587575754</v>
      </c>
      <c r="AB18">
        <v>0.464845740164166</v>
      </c>
      <c r="AC18">
        <v>0.631653846153846</v>
      </c>
      <c r="AD18">
        <v>0.66</v>
      </c>
      <c r="AE18">
        <v>1.158</v>
      </c>
      <c r="AF18">
        <v>1.305</v>
      </c>
      <c r="AG18">
        <v>1.317</v>
      </c>
      <c r="AH18">
        <v>26</v>
      </c>
      <c r="AI18">
        <v>0</v>
      </c>
      <c r="AJ18">
        <v>0</v>
      </c>
      <c r="AK18">
        <v>0</v>
      </c>
      <c r="AL18">
        <v>11</v>
      </c>
      <c r="AM18">
        <v>11.116</v>
      </c>
      <c r="AN18">
        <v>11</v>
      </c>
      <c r="AO18">
        <v>10.6</v>
      </c>
      <c r="AP18">
        <v>13</v>
      </c>
      <c r="AQ18">
        <v>1.317</v>
      </c>
      <c r="AR18">
        <v>28</v>
      </c>
      <c r="AS18">
        <v>85.8571428571429</v>
      </c>
      <c r="AT18" t="s">
        <v>534</v>
      </c>
      <c r="AU18" t="s">
        <v>516</v>
      </c>
    </row>
    <row r="19" spans="1:47">
      <c r="A19" t="s">
        <v>413</v>
      </c>
      <c r="B19">
        <v>2</v>
      </c>
      <c r="C19">
        <v>8905</v>
      </c>
      <c r="D19">
        <v>8867</v>
      </c>
      <c r="E19">
        <v>8905</v>
      </c>
      <c r="F19">
        <v>8915</v>
      </c>
      <c r="G19">
        <v>8895.66666666667</v>
      </c>
      <c r="H19">
        <v>8905</v>
      </c>
      <c r="I19">
        <v>8867</v>
      </c>
      <c r="J19">
        <v>8915</v>
      </c>
      <c r="K19">
        <v>25.3245598842968</v>
      </c>
      <c r="L19" t="s">
        <v>516</v>
      </c>
      <c r="M19" t="s">
        <v>517</v>
      </c>
      <c r="N19">
        <v>149.404</v>
      </c>
      <c r="O19">
        <v>1.67775407074677</v>
      </c>
      <c r="P19">
        <v>27</v>
      </c>
      <c r="Q19">
        <v>149.338</v>
      </c>
      <c r="R19">
        <v>99.9558244759176</v>
      </c>
      <c r="S19">
        <v>1.67701291409321</v>
      </c>
      <c r="T19">
        <v>128.5</v>
      </c>
      <c r="U19">
        <v>86.0464181922886</v>
      </c>
      <c r="V19">
        <v>0.506</v>
      </c>
      <c r="W19">
        <v>126.955</v>
      </c>
      <c r="X19">
        <v>0.393774319066148</v>
      </c>
      <c r="Y19">
        <v>0.503348201358604</v>
      </c>
      <c r="Z19">
        <v>0.338828697317495</v>
      </c>
      <c r="AA19">
        <v>0.338679017964713</v>
      </c>
      <c r="AB19">
        <v>0.00568220101066816</v>
      </c>
      <c r="AC19">
        <v>0.0187407407407407</v>
      </c>
      <c r="AD19">
        <v>0.012</v>
      </c>
      <c r="AE19">
        <v>0.0392</v>
      </c>
      <c r="AF19">
        <v>0.04844</v>
      </c>
      <c r="AG19">
        <v>0.05</v>
      </c>
      <c r="AH19">
        <v>27</v>
      </c>
      <c r="AI19">
        <v>0</v>
      </c>
      <c r="AJ19">
        <v>0</v>
      </c>
      <c r="AK19">
        <v>0</v>
      </c>
      <c r="AL19">
        <v>27</v>
      </c>
      <c r="AM19">
        <v>8.343</v>
      </c>
      <c r="AN19">
        <v>27</v>
      </c>
      <c r="AO19">
        <v>7.7</v>
      </c>
      <c r="AP19">
        <v>22</v>
      </c>
      <c r="AQ19">
        <v>0.05</v>
      </c>
      <c r="AR19">
        <v>45</v>
      </c>
      <c r="AS19">
        <v>2.54545454545454</v>
      </c>
      <c r="AT19" t="s">
        <v>535</v>
      </c>
      <c r="AU19" t="s">
        <v>516</v>
      </c>
    </row>
    <row r="20" spans="1:47">
      <c r="A20" t="s">
        <v>432</v>
      </c>
      <c r="B20">
        <v>3</v>
      </c>
      <c r="C20">
        <v>1772</v>
      </c>
      <c r="D20">
        <v>1924</v>
      </c>
      <c r="E20">
        <v>1758</v>
      </c>
      <c r="F20">
        <v>1772</v>
      </c>
      <c r="G20">
        <v>1818</v>
      </c>
      <c r="H20">
        <v>1772</v>
      </c>
      <c r="I20">
        <v>1758</v>
      </c>
      <c r="J20">
        <v>1924</v>
      </c>
      <c r="K20">
        <v>92.0651942918712</v>
      </c>
      <c r="L20" t="s">
        <v>516</v>
      </c>
      <c r="M20" t="s">
        <v>517</v>
      </c>
      <c r="N20">
        <v>65.149</v>
      </c>
      <c r="O20">
        <v>3.67658013544018</v>
      </c>
      <c r="P20">
        <v>20</v>
      </c>
      <c r="Q20">
        <v>65.149</v>
      </c>
      <c r="R20">
        <v>100</v>
      </c>
      <c r="S20">
        <v>3.67658013544018</v>
      </c>
      <c r="T20">
        <v>51.6</v>
      </c>
      <c r="U20">
        <v>79.2030576064099</v>
      </c>
      <c r="V20">
        <v>2.74</v>
      </c>
      <c r="W20">
        <v>47.974</v>
      </c>
      <c r="X20">
        <v>5.31007751937984</v>
      </c>
      <c r="Y20">
        <v>5.27581844989972</v>
      </c>
      <c r="Z20">
        <v>4.20574375661944</v>
      </c>
      <c r="AA20">
        <v>4.20574375661944</v>
      </c>
      <c r="AB20">
        <v>0.154627539503386</v>
      </c>
      <c r="AC20">
        <v>0.137</v>
      </c>
      <c r="AD20">
        <v>0.088</v>
      </c>
      <c r="AE20">
        <v>0.2199</v>
      </c>
      <c r="AF20">
        <v>0.44571</v>
      </c>
      <c r="AG20">
        <v>0.482</v>
      </c>
      <c r="AH20">
        <v>20</v>
      </c>
      <c r="AI20">
        <v>0</v>
      </c>
      <c r="AJ20">
        <v>0</v>
      </c>
      <c r="AK20">
        <v>0</v>
      </c>
      <c r="AL20">
        <v>11</v>
      </c>
      <c r="AM20">
        <v>7.262</v>
      </c>
      <c r="AN20">
        <v>11</v>
      </c>
      <c r="AO20">
        <v>4.9</v>
      </c>
      <c r="AP20">
        <v>9</v>
      </c>
      <c r="AQ20">
        <v>0.482</v>
      </c>
      <c r="AR20">
        <v>4</v>
      </c>
      <c r="AS20">
        <v>12.125</v>
      </c>
      <c r="AT20" t="s">
        <v>536</v>
      </c>
      <c r="AU20" t="s">
        <v>516</v>
      </c>
    </row>
    <row r="21" spans="1:47">
      <c r="A21" t="s">
        <v>457</v>
      </c>
      <c r="B21">
        <v>3</v>
      </c>
      <c r="C21">
        <v>2270</v>
      </c>
      <c r="D21">
        <v>2432</v>
      </c>
      <c r="E21">
        <v>2258</v>
      </c>
      <c r="F21">
        <v>2270</v>
      </c>
      <c r="G21">
        <v>2320</v>
      </c>
      <c r="H21">
        <v>2270</v>
      </c>
      <c r="I21">
        <v>2258</v>
      </c>
      <c r="J21">
        <v>2432</v>
      </c>
      <c r="K21">
        <v>97.1802449060507</v>
      </c>
      <c r="L21" t="s">
        <v>516</v>
      </c>
      <c r="M21" t="s">
        <v>517</v>
      </c>
      <c r="N21">
        <v>43.561</v>
      </c>
      <c r="O21">
        <v>1.91898678414097</v>
      </c>
      <c r="P21">
        <v>11</v>
      </c>
      <c r="Q21">
        <v>43.561</v>
      </c>
      <c r="R21">
        <v>100</v>
      </c>
      <c r="S21">
        <v>1.91898678414097</v>
      </c>
      <c r="T21">
        <v>37.6</v>
      </c>
      <c r="U21">
        <v>86.3157411446018</v>
      </c>
      <c r="V21">
        <v>4.165</v>
      </c>
      <c r="W21">
        <v>33.198</v>
      </c>
      <c r="X21">
        <v>11.0771276595745</v>
      </c>
      <c r="Y21">
        <v>14.497638490409</v>
      </c>
      <c r="Z21">
        <v>9.56130483689539</v>
      </c>
      <c r="AA21">
        <v>9.56130483689539</v>
      </c>
      <c r="AB21">
        <v>0.183480176211454</v>
      </c>
      <c r="AC21">
        <v>0.378636363636364</v>
      </c>
      <c r="AD21">
        <v>0.146</v>
      </c>
      <c r="AE21">
        <v>0.669</v>
      </c>
      <c r="AF21">
        <v>1.6833</v>
      </c>
      <c r="AG21">
        <v>1.796</v>
      </c>
      <c r="AH21">
        <v>11</v>
      </c>
      <c r="AI21">
        <v>0</v>
      </c>
      <c r="AJ21">
        <v>0</v>
      </c>
      <c r="AK21">
        <v>0</v>
      </c>
      <c r="AL21">
        <v>9</v>
      </c>
      <c r="AM21">
        <v>10.174</v>
      </c>
      <c r="AN21">
        <v>9</v>
      </c>
      <c r="AO21">
        <v>9.4</v>
      </c>
      <c r="AP21">
        <v>9</v>
      </c>
      <c r="AQ21">
        <v>1.796</v>
      </c>
      <c r="AR21">
        <v>4</v>
      </c>
      <c r="AS21">
        <v>59.375</v>
      </c>
      <c r="AT21" t="s">
        <v>537</v>
      </c>
      <c r="AU21" t="s">
        <v>516</v>
      </c>
    </row>
  </sheetData>
  <autoFilter xmlns:etc="http://www.wps.cn/officeDocument/2017/etCustomData" ref="A1:AV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workbookViewId="0">
      <pane ySplit="1" topLeftCell="A2" activePane="bottomLeft" state="frozen"/>
      <selection/>
      <selection pane="bottomLeft" activeCell="G4" sqref="G4"/>
    </sheetView>
  </sheetViews>
  <sheetFormatPr defaultColWidth="8.85245901639344" defaultRowHeight="17.65"/>
  <cols>
    <col min="1" max="3" width="14" customWidth="1"/>
    <col min="4" max="4" width="22" customWidth="1"/>
    <col min="5" max="5" width="16" customWidth="1"/>
    <col min="6" max="6" width="19" customWidth="1"/>
    <col min="7" max="7" width="18" customWidth="1"/>
    <col min="8" max="8" width="17" customWidth="1"/>
    <col min="9" max="9" width="21" customWidth="1"/>
    <col min="10" max="10" width="19" customWidth="1"/>
    <col min="11" max="11" width="30" customWidth="1"/>
    <col min="12" max="12" width="14" customWidth="1"/>
    <col min="13" max="13" width="16" customWidth="1"/>
    <col min="14" max="14" width="19" customWidth="1"/>
    <col min="15" max="15" width="14" customWidth="1"/>
    <col min="16" max="16" width="15" customWidth="1"/>
    <col min="17" max="17" width="23" customWidth="1"/>
    <col min="18" max="18" width="20" customWidth="1"/>
    <col min="19" max="19" width="32" customWidth="1"/>
    <col min="20" max="20" width="22" customWidth="1"/>
    <col min="21" max="21" width="14" customWidth="1"/>
  </cols>
  <sheetData>
    <row r="1" spans="1:21">
      <c r="A1" s="1" t="s">
        <v>468</v>
      </c>
      <c r="B1" s="1" t="s">
        <v>538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547</v>
      </c>
      <c r="L1" s="1" t="s">
        <v>481</v>
      </c>
      <c r="M1" s="1" t="s">
        <v>483</v>
      </c>
      <c r="N1" s="1" t="s">
        <v>484</v>
      </c>
      <c r="O1" s="1" t="s">
        <v>487</v>
      </c>
      <c r="P1" s="1" t="s">
        <v>489</v>
      </c>
      <c r="Q1" s="1" t="s">
        <v>501</v>
      </c>
      <c r="R1" s="1" t="s">
        <v>502</v>
      </c>
      <c r="S1" s="1" t="s">
        <v>503</v>
      </c>
      <c r="T1" s="1" t="s">
        <v>504</v>
      </c>
      <c r="U1" s="1" t="s">
        <v>548</v>
      </c>
    </row>
    <row r="2" spans="1:21">
      <c r="A2" t="s">
        <v>1</v>
      </c>
      <c r="B2">
        <v>1</v>
      </c>
      <c r="C2" t="s">
        <v>516</v>
      </c>
      <c r="D2">
        <v>3840</v>
      </c>
      <c r="E2" t="s">
        <v>549</v>
      </c>
      <c r="F2">
        <v>4120.88</v>
      </c>
      <c r="G2">
        <v>0</v>
      </c>
      <c r="I2" t="s">
        <v>550</v>
      </c>
      <c r="J2">
        <v>8</v>
      </c>
      <c r="K2">
        <v>5</v>
      </c>
      <c r="L2">
        <v>14.554</v>
      </c>
      <c r="M2">
        <v>5</v>
      </c>
      <c r="N2">
        <v>14.554</v>
      </c>
      <c r="O2">
        <v>11.9</v>
      </c>
      <c r="P2">
        <v>3.056</v>
      </c>
      <c r="Q2">
        <v>5</v>
      </c>
      <c r="R2">
        <v>0</v>
      </c>
      <c r="S2">
        <v>0</v>
      </c>
      <c r="T2">
        <v>0</v>
      </c>
      <c r="U2" t="s">
        <v>551</v>
      </c>
    </row>
    <row r="3" spans="1:21">
      <c r="A3" t="s">
        <v>1</v>
      </c>
      <c r="B3">
        <v>2</v>
      </c>
      <c r="C3" t="s">
        <v>516</v>
      </c>
      <c r="D3">
        <v>4359</v>
      </c>
      <c r="E3" t="s">
        <v>549</v>
      </c>
      <c r="F3">
        <v>4671.39</v>
      </c>
      <c r="G3">
        <v>0</v>
      </c>
      <c r="I3" t="s">
        <v>550</v>
      </c>
      <c r="J3">
        <v>8</v>
      </c>
      <c r="K3">
        <v>5</v>
      </c>
      <c r="L3">
        <v>13.779</v>
      </c>
      <c r="M3">
        <v>5</v>
      </c>
      <c r="N3">
        <v>13.779</v>
      </c>
      <c r="O3">
        <v>11.5</v>
      </c>
      <c r="P3">
        <v>2.852</v>
      </c>
      <c r="Q3">
        <v>5</v>
      </c>
      <c r="R3">
        <v>0</v>
      </c>
      <c r="S3">
        <v>0</v>
      </c>
      <c r="T3">
        <v>0</v>
      </c>
      <c r="U3" t="s">
        <v>518</v>
      </c>
    </row>
    <row r="4" spans="1:21">
      <c r="A4" t="s">
        <v>1</v>
      </c>
      <c r="B4">
        <v>3</v>
      </c>
      <c r="C4" t="s">
        <v>516</v>
      </c>
      <c r="D4">
        <v>4534</v>
      </c>
      <c r="E4" t="s">
        <v>549</v>
      </c>
      <c r="F4">
        <v>4821.903</v>
      </c>
      <c r="G4">
        <v>0</v>
      </c>
      <c r="I4" t="s">
        <v>550</v>
      </c>
      <c r="J4">
        <v>8</v>
      </c>
      <c r="K4">
        <v>5</v>
      </c>
      <c r="L4">
        <v>13.524</v>
      </c>
      <c r="M4">
        <v>5</v>
      </c>
      <c r="N4">
        <v>13.524</v>
      </c>
      <c r="O4">
        <v>11.5</v>
      </c>
      <c r="P4">
        <v>2.449</v>
      </c>
      <c r="Q4">
        <v>5</v>
      </c>
      <c r="R4">
        <v>0</v>
      </c>
      <c r="S4">
        <v>0</v>
      </c>
      <c r="T4">
        <v>0</v>
      </c>
      <c r="U4" t="s">
        <v>552</v>
      </c>
    </row>
    <row r="5" spans="1:21">
      <c r="A5" t="s">
        <v>26</v>
      </c>
      <c r="B5">
        <v>1</v>
      </c>
      <c r="C5" t="s">
        <v>516</v>
      </c>
      <c r="D5">
        <v>2028</v>
      </c>
      <c r="E5" t="s">
        <v>549</v>
      </c>
      <c r="F5">
        <v>2819.332</v>
      </c>
      <c r="G5">
        <v>0</v>
      </c>
      <c r="I5" t="s">
        <v>553</v>
      </c>
      <c r="J5">
        <v>15</v>
      </c>
      <c r="K5">
        <v>14</v>
      </c>
      <c r="L5">
        <v>276.047</v>
      </c>
      <c r="M5">
        <v>14</v>
      </c>
      <c r="N5">
        <v>276.047</v>
      </c>
      <c r="O5">
        <v>265.2</v>
      </c>
      <c r="P5">
        <v>14.279</v>
      </c>
      <c r="Q5">
        <v>14</v>
      </c>
      <c r="R5">
        <v>0</v>
      </c>
      <c r="S5">
        <v>0</v>
      </c>
      <c r="T5">
        <v>0</v>
      </c>
      <c r="U5" t="s">
        <v>554</v>
      </c>
    </row>
    <row r="6" spans="1:21">
      <c r="A6" t="s">
        <v>26</v>
      </c>
      <c r="B6">
        <v>2</v>
      </c>
      <c r="C6" t="s">
        <v>516</v>
      </c>
      <c r="D6">
        <v>2060</v>
      </c>
      <c r="E6" t="s">
        <v>549</v>
      </c>
      <c r="F6">
        <v>2869.097</v>
      </c>
      <c r="G6">
        <v>0</v>
      </c>
      <c r="I6" t="s">
        <v>553</v>
      </c>
      <c r="J6">
        <v>15</v>
      </c>
      <c r="K6">
        <v>14</v>
      </c>
      <c r="L6">
        <v>288.534</v>
      </c>
      <c r="M6">
        <v>14</v>
      </c>
      <c r="N6">
        <v>288.534</v>
      </c>
      <c r="O6">
        <v>276.6</v>
      </c>
      <c r="P6">
        <v>10.623</v>
      </c>
      <c r="Q6">
        <v>14</v>
      </c>
      <c r="R6">
        <v>0</v>
      </c>
      <c r="S6">
        <v>0</v>
      </c>
      <c r="T6">
        <v>0</v>
      </c>
      <c r="U6" t="s">
        <v>519</v>
      </c>
    </row>
    <row r="7" spans="1:21">
      <c r="A7" t="s">
        <v>26</v>
      </c>
      <c r="B7">
        <v>3</v>
      </c>
      <c r="C7" t="s">
        <v>516</v>
      </c>
      <c r="D7">
        <v>2086</v>
      </c>
      <c r="E7" t="s">
        <v>549</v>
      </c>
      <c r="F7">
        <v>2869.118</v>
      </c>
      <c r="G7">
        <v>0</v>
      </c>
      <c r="I7" t="s">
        <v>553</v>
      </c>
      <c r="J7">
        <v>15</v>
      </c>
      <c r="K7">
        <v>14</v>
      </c>
      <c r="L7">
        <v>278.387</v>
      </c>
      <c r="M7">
        <v>14</v>
      </c>
      <c r="N7">
        <v>278.387</v>
      </c>
      <c r="O7">
        <v>268.2</v>
      </c>
      <c r="P7">
        <v>12.754</v>
      </c>
      <c r="Q7">
        <v>14</v>
      </c>
      <c r="R7">
        <v>0</v>
      </c>
      <c r="S7">
        <v>0</v>
      </c>
      <c r="T7">
        <v>0</v>
      </c>
      <c r="U7" t="s">
        <v>555</v>
      </c>
    </row>
    <row r="8" spans="1:21">
      <c r="A8" t="s">
        <v>41</v>
      </c>
      <c r="B8">
        <v>1</v>
      </c>
      <c r="C8" t="s">
        <v>516</v>
      </c>
      <c r="D8">
        <v>6248</v>
      </c>
      <c r="E8" t="s">
        <v>549</v>
      </c>
      <c r="F8">
        <v>7077.273</v>
      </c>
      <c r="G8">
        <v>0</v>
      </c>
      <c r="I8" t="s">
        <v>556</v>
      </c>
      <c r="J8">
        <v>23</v>
      </c>
      <c r="K8">
        <v>22</v>
      </c>
      <c r="L8">
        <v>270.75</v>
      </c>
      <c r="M8">
        <v>22</v>
      </c>
      <c r="N8">
        <v>270.75</v>
      </c>
      <c r="O8">
        <v>250.2</v>
      </c>
      <c r="P8">
        <v>67.991</v>
      </c>
      <c r="Q8">
        <v>22</v>
      </c>
      <c r="R8">
        <v>0</v>
      </c>
      <c r="S8">
        <v>0</v>
      </c>
      <c r="T8">
        <v>0</v>
      </c>
      <c r="U8" t="s">
        <v>520</v>
      </c>
    </row>
    <row r="9" spans="1:21">
      <c r="A9" t="s">
        <v>41</v>
      </c>
      <c r="B9">
        <v>2</v>
      </c>
      <c r="C9" t="s">
        <v>516</v>
      </c>
      <c r="D9">
        <v>6242</v>
      </c>
      <c r="E9" t="s">
        <v>549</v>
      </c>
      <c r="F9">
        <v>7076.689</v>
      </c>
      <c r="G9">
        <v>0</v>
      </c>
      <c r="I9" t="s">
        <v>556</v>
      </c>
      <c r="J9">
        <v>23</v>
      </c>
      <c r="K9">
        <v>22</v>
      </c>
      <c r="L9">
        <v>256.975</v>
      </c>
      <c r="M9">
        <v>22</v>
      </c>
      <c r="N9">
        <v>256.975</v>
      </c>
      <c r="O9">
        <v>236.5</v>
      </c>
      <c r="P9">
        <v>56.972</v>
      </c>
      <c r="Q9">
        <v>22</v>
      </c>
      <c r="R9">
        <v>0</v>
      </c>
      <c r="S9">
        <v>0</v>
      </c>
      <c r="T9">
        <v>0</v>
      </c>
      <c r="U9" t="s">
        <v>557</v>
      </c>
    </row>
    <row r="10" spans="1:21">
      <c r="A10" t="s">
        <v>41</v>
      </c>
      <c r="B10">
        <v>3</v>
      </c>
      <c r="C10" t="s">
        <v>516</v>
      </c>
      <c r="D10">
        <v>6313</v>
      </c>
      <c r="E10" t="s">
        <v>549</v>
      </c>
      <c r="F10">
        <v>7127.52</v>
      </c>
      <c r="G10">
        <v>0</v>
      </c>
      <c r="I10" t="s">
        <v>556</v>
      </c>
      <c r="J10">
        <v>23</v>
      </c>
      <c r="K10">
        <v>22</v>
      </c>
      <c r="L10">
        <v>265.559</v>
      </c>
      <c r="M10">
        <v>22</v>
      </c>
      <c r="N10">
        <v>265.559</v>
      </c>
      <c r="O10">
        <v>245.3</v>
      </c>
      <c r="P10">
        <v>59.243</v>
      </c>
      <c r="Q10">
        <v>22</v>
      </c>
      <c r="R10">
        <v>0</v>
      </c>
      <c r="S10">
        <v>0</v>
      </c>
      <c r="T10">
        <v>0</v>
      </c>
      <c r="U10" t="s">
        <v>558</v>
      </c>
    </row>
    <row r="11" spans="1:21">
      <c r="A11" t="s">
        <v>60</v>
      </c>
      <c r="B11">
        <v>1</v>
      </c>
      <c r="C11" t="s">
        <v>559</v>
      </c>
      <c r="F11">
        <v>414.687</v>
      </c>
      <c r="G11">
        <v>255</v>
      </c>
      <c r="H11" t="s">
        <v>560</v>
      </c>
      <c r="I11" t="s">
        <v>561</v>
      </c>
      <c r="J11">
        <v>1</v>
      </c>
      <c r="K11">
        <v>0</v>
      </c>
      <c r="L11">
        <v>0</v>
      </c>
      <c r="M11">
        <v>0</v>
      </c>
      <c r="N11">
        <v>0</v>
      </c>
      <c r="Q11">
        <v>0</v>
      </c>
      <c r="R11">
        <v>0</v>
      </c>
      <c r="S11">
        <v>0</v>
      </c>
      <c r="T11">
        <v>0</v>
      </c>
      <c r="U11" t="s">
        <v>562</v>
      </c>
    </row>
    <row r="12" spans="1:21">
      <c r="A12" t="s">
        <v>60</v>
      </c>
      <c r="B12">
        <v>2</v>
      </c>
      <c r="C12" t="s">
        <v>559</v>
      </c>
      <c r="F12">
        <v>414.787</v>
      </c>
      <c r="G12">
        <v>255</v>
      </c>
      <c r="H12" t="s">
        <v>560</v>
      </c>
      <c r="I12" t="s">
        <v>561</v>
      </c>
      <c r="J12">
        <v>1</v>
      </c>
      <c r="K12">
        <v>0</v>
      </c>
      <c r="L12">
        <v>0</v>
      </c>
      <c r="M12">
        <v>0</v>
      </c>
      <c r="N12">
        <v>0</v>
      </c>
      <c r="Q12">
        <v>0</v>
      </c>
      <c r="R12">
        <v>0</v>
      </c>
      <c r="S12">
        <v>0</v>
      </c>
      <c r="T12">
        <v>0</v>
      </c>
      <c r="U12" t="s">
        <v>563</v>
      </c>
    </row>
    <row r="13" spans="1:21">
      <c r="A13" t="s">
        <v>60</v>
      </c>
      <c r="B13">
        <v>3</v>
      </c>
      <c r="C13" t="s">
        <v>559</v>
      </c>
      <c r="F13">
        <v>365.108</v>
      </c>
      <c r="G13">
        <v>255</v>
      </c>
      <c r="H13" t="s">
        <v>560</v>
      </c>
      <c r="I13" t="s">
        <v>561</v>
      </c>
      <c r="J13">
        <v>1</v>
      </c>
      <c r="K13">
        <v>0</v>
      </c>
      <c r="L13">
        <v>0</v>
      </c>
      <c r="M13">
        <v>0</v>
      </c>
      <c r="N13">
        <v>0</v>
      </c>
      <c r="Q13">
        <v>0</v>
      </c>
      <c r="R13">
        <v>0</v>
      </c>
      <c r="S13">
        <v>0</v>
      </c>
      <c r="T13">
        <v>0</v>
      </c>
      <c r="U13" t="s">
        <v>564</v>
      </c>
    </row>
    <row r="14" spans="1:21">
      <c r="A14" t="s">
        <v>99</v>
      </c>
      <c r="B14">
        <v>1</v>
      </c>
      <c r="C14" t="s">
        <v>516</v>
      </c>
      <c r="D14">
        <v>16603</v>
      </c>
      <c r="E14" t="s">
        <v>549</v>
      </c>
      <c r="F14">
        <v>18399.171</v>
      </c>
      <c r="G14">
        <v>0</v>
      </c>
      <c r="I14" t="s">
        <v>565</v>
      </c>
      <c r="J14">
        <v>33</v>
      </c>
      <c r="K14">
        <v>23</v>
      </c>
      <c r="L14">
        <v>662.85</v>
      </c>
      <c r="M14">
        <v>21</v>
      </c>
      <c r="N14">
        <v>662.728</v>
      </c>
      <c r="O14">
        <v>634.6</v>
      </c>
      <c r="P14">
        <v>153.484</v>
      </c>
      <c r="Q14">
        <v>21</v>
      </c>
      <c r="R14">
        <v>0</v>
      </c>
      <c r="S14">
        <v>0</v>
      </c>
      <c r="T14">
        <v>0</v>
      </c>
      <c r="U14" t="s">
        <v>522</v>
      </c>
    </row>
    <row r="15" spans="1:21">
      <c r="A15" t="s">
        <v>99</v>
      </c>
      <c r="B15">
        <v>2</v>
      </c>
      <c r="C15" t="s">
        <v>516</v>
      </c>
      <c r="D15">
        <v>17034</v>
      </c>
      <c r="E15" t="s">
        <v>549</v>
      </c>
      <c r="F15">
        <v>18555.81</v>
      </c>
      <c r="G15">
        <v>0</v>
      </c>
      <c r="I15" t="s">
        <v>566</v>
      </c>
      <c r="J15">
        <v>39</v>
      </c>
      <c r="K15">
        <v>29</v>
      </c>
      <c r="L15">
        <v>734.966</v>
      </c>
      <c r="M15">
        <v>27</v>
      </c>
      <c r="N15">
        <v>734.872</v>
      </c>
      <c r="O15">
        <v>700.8</v>
      </c>
      <c r="P15">
        <v>109.265</v>
      </c>
      <c r="Q15">
        <v>27</v>
      </c>
      <c r="R15">
        <v>0</v>
      </c>
      <c r="S15">
        <v>0</v>
      </c>
      <c r="T15">
        <v>0</v>
      </c>
      <c r="U15" t="s">
        <v>567</v>
      </c>
    </row>
    <row r="16" spans="1:21">
      <c r="A16" t="s">
        <v>99</v>
      </c>
      <c r="B16">
        <v>3</v>
      </c>
      <c r="C16" t="s">
        <v>516</v>
      </c>
      <c r="D16">
        <v>15432</v>
      </c>
      <c r="E16" t="s">
        <v>549</v>
      </c>
      <c r="F16">
        <v>17498.705</v>
      </c>
      <c r="G16">
        <v>0</v>
      </c>
      <c r="I16" t="s">
        <v>568</v>
      </c>
      <c r="J16">
        <v>37</v>
      </c>
      <c r="K16">
        <v>27</v>
      </c>
      <c r="L16">
        <v>644.45</v>
      </c>
      <c r="M16">
        <v>25</v>
      </c>
      <c r="N16">
        <v>644.34</v>
      </c>
      <c r="O16">
        <v>615</v>
      </c>
      <c r="P16">
        <v>112.857</v>
      </c>
      <c r="Q16">
        <v>25</v>
      </c>
      <c r="R16">
        <v>0</v>
      </c>
      <c r="S16">
        <v>0</v>
      </c>
      <c r="T16">
        <v>0</v>
      </c>
      <c r="U16" t="s">
        <v>569</v>
      </c>
    </row>
    <row r="17" spans="1:21">
      <c r="A17" t="s">
        <v>134</v>
      </c>
      <c r="B17">
        <v>1</v>
      </c>
      <c r="C17" t="s">
        <v>516</v>
      </c>
      <c r="D17">
        <v>2015</v>
      </c>
      <c r="E17" t="s">
        <v>549</v>
      </c>
      <c r="F17">
        <v>2319.174</v>
      </c>
      <c r="G17">
        <v>0</v>
      </c>
      <c r="I17" t="s">
        <v>570</v>
      </c>
      <c r="J17">
        <v>15</v>
      </c>
      <c r="K17">
        <v>14</v>
      </c>
      <c r="L17">
        <v>55.776</v>
      </c>
      <c r="M17">
        <v>12</v>
      </c>
      <c r="N17">
        <v>55.726</v>
      </c>
      <c r="O17">
        <v>38.7</v>
      </c>
      <c r="P17">
        <v>1.129</v>
      </c>
      <c r="Q17">
        <v>12</v>
      </c>
      <c r="R17">
        <v>0</v>
      </c>
      <c r="S17">
        <v>0</v>
      </c>
      <c r="T17">
        <v>0</v>
      </c>
      <c r="U17" t="s">
        <v>571</v>
      </c>
    </row>
    <row r="18" spans="1:21">
      <c r="A18" t="s">
        <v>134</v>
      </c>
      <c r="B18">
        <v>2</v>
      </c>
      <c r="C18" t="s">
        <v>516</v>
      </c>
      <c r="D18">
        <v>1939</v>
      </c>
      <c r="E18" t="s">
        <v>549</v>
      </c>
      <c r="F18">
        <v>2218.353</v>
      </c>
      <c r="G18">
        <v>0</v>
      </c>
      <c r="I18" t="s">
        <v>572</v>
      </c>
      <c r="J18">
        <v>14</v>
      </c>
      <c r="K18">
        <v>13</v>
      </c>
      <c r="L18">
        <v>65.449</v>
      </c>
      <c r="M18">
        <v>11</v>
      </c>
      <c r="N18">
        <v>65.383</v>
      </c>
      <c r="O18">
        <v>47.5</v>
      </c>
      <c r="P18">
        <v>1.429</v>
      </c>
      <c r="Q18">
        <v>11</v>
      </c>
      <c r="R18">
        <v>0</v>
      </c>
      <c r="S18">
        <v>0</v>
      </c>
      <c r="T18">
        <v>0</v>
      </c>
      <c r="U18" t="s">
        <v>573</v>
      </c>
    </row>
    <row r="19" spans="1:21">
      <c r="A19" t="s">
        <v>134</v>
      </c>
      <c r="B19">
        <v>3</v>
      </c>
      <c r="C19" t="s">
        <v>516</v>
      </c>
      <c r="D19">
        <v>1971</v>
      </c>
      <c r="E19" t="s">
        <v>549</v>
      </c>
      <c r="F19">
        <v>2268.604</v>
      </c>
      <c r="G19">
        <v>0</v>
      </c>
      <c r="I19" t="s">
        <v>570</v>
      </c>
      <c r="J19">
        <v>15</v>
      </c>
      <c r="K19">
        <v>14</v>
      </c>
      <c r="L19">
        <v>61.76</v>
      </c>
      <c r="M19">
        <v>12</v>
      </c>
      <c r="N19">
        <v>61.71</v>
      </c>
      <c r="O19">
        <v>44.1</v>
      </c>
      <c r="P19">
        <v>2.41</v>
      </c>
      <c r="Q19">
        <v>12</v>
      </c>
      <c r="R19">
        <v>0</v>
      </c>
      <c r="S19">
        <v>0</v>
      </c>
      <c r="T19">
        <v>0</v>
      </c>
      <c r="U19" t="s">
        <v>523</v>
      </c>
    </row>
    <row r="20" spans="1:21">
      <c r="A20" t="s">
        <v>144</v>
      </c>
      <c r="B20">
        <v>1</v>
      </c>
      <c r="C20" t="s">
        <v>516</v>
      </c>
      <c r="D20">
        <v>3998</v>
      </c>
      <c r="E20" t="s">
        <v>549</v>
      </c>
      <c r="F20">
        <v>7586.35</v>
      </c>
      <c r="G20">
        <v>0</v>
      </c>
      <c r="I20" t="s">
        <v>574</v>
      </c>
      <c r="J20">
        <v>24</v>
      </c>
      <c r="K20">
        <v>22</v>
      </c>
      <c r="L20">
        <v>120.848</v>
      </c>
      <c r="M20">
        <v>20</v>
      </c>
      <c r="N20">
        <v>120.75</v>
      </c>
      <c r="O20">
        <v>105.6</v>
      </c>
      <c r="P20">
        <v>75.64</v>
      </c>
      <c r="Q20">
        <v>20</v>
      </c>
      <c r="R20">
        <v>0</v>
      </c>
      <c r="S20">
        <v>0</v>
      </c>
      <c r="T20">
        <v>0</v>
      </c>
      <c r="U20" t="s">
        <v>575</v>
      </c>
    </row>
    <row r="21" spans="1:21">
      <c r="A21" t="s">
        <v>144</v>
      </c>
      <c r="B21">
        <v>2</v>
      </c>
      <c r="C21" t="s">
        <v>516</v>
      </c>
      <c r="D21">
        <v>3986</v>
      </c>
      <c r="E21" t="s">
        <v>549</v>
      </c>
      <c r="F21">
        <v>7584.624</v>
      </c>
      <c r="G21">
        <v>0</v>
      </c>
      <c r="I21" t="s">
        <v>576</v>
      </c>
      <c r="J21">
        <v>26</v>
      </c>
      <c r="K21">
        <v>24</v>
      </c>
      <c r="L21">
        <v>132.071</v>
      </c>
      <c r="M21">
        <v>22</v>
      </c>
      <c r="N21">
        <v>132.019</v>
      </c>
      <c r="O21">
        <v>114.8</v>
      </c>
      <c r="P21">
        <v>83.591</v>
      </c>
      <c r="Q21">
        <v>22</v>
      </c>
      <c r="R21">
        <v>0</v>
      </c>
      <c r="S21">
        <v>0</v>
      </c>
      <c r="T21">
        <v>0</v>
      </c>
      <c r="U21" t="s">
        <v>524</v>
      </c>
    </row>
    <row r="22" spans="1:21">
      <c r="A22" t="s">
        <v>144</v>
      </c>
      <c r="B22">
        <v>3</v>
      </c>
      <c r="C22" t="s">
        <v>516</v>
      </c>
      <c r="D22">
        <v>3790</v>
      </c>
      <c r="E22" t="s">
        <v>549</v>
      </c>
      <c r="F22">
        <v>7337.827</v>
      </c>
      <c r="G22">
        <v>0</v>
      </c>
      <c r="I22" t="s">
        <v>574</v>
      </c>
      <c r="J22">
        <v>24</v>
      </c>
      <c r="K22">
        <v>22</v>
      </c>
      <c r="L22">
        <v>144.892</v>
      </c>
      <c r="M22">
        <v>20</v>
      </c>
      <c r="N22">
        <v>144.824</v>
      </c>
      <c r="O22">
        <v>128.9</v>
      </c>
      <c r="P22">
        <v>93.14</v>
      </c>
      <c r="Q22">
        <v>20</v>
      </c>
      <c r="R22">
        <v>0</v>
      </c>
      <c r="S22">
        <v>0</v>
      </c>
      <c r="T22">
        <v>0</v>
      </c>
      <c r="U22" t="s">
        <v>577</v>
      </c>
    </row>
    <row r="23" spans="1:21">
      <c r="A23" t="s">
        <v>168</v>
      </c>
      <c r="B23">
        <v>1</v>
      </c>
      <c r="C23" t="s">
        <v>516</v>
      </c>
      <c r="D23">
        <v>4560</v>
      </c>
      <c r="E23" t="s">
        <v>549</v>
      </c>
      <c r="F23">
        <v>21029.027</v>
      </c>
      <c r="G23">
        <v>0</v>
      </c>
      <c r="I23" t="s">
        <v>578</v>
      </c>
      <c r="J23">
        <v>48</v>
      </c>
      <c r="K23">
        <v>11</v>
      </c>
      <c r="L23">
        <v>896.81</v>
      </c>
      <c r="M23">
        <v>11</v>
      </c>
      <c r="N23">
        <v>896.81</v>
      </c>
      <c r="O23">
        <v>883.1</v>
      </c>
      <c r="P23">
        <v>0.69</v>
      </c>
      <c r="Q23">
        <v>11</v>
      </c>
      <c r="R23">
        <v>0</v>
      </c>
      <c r="S23">
        <v>0</v>
      </c>
      <c r="T23">
        <v>0</v>
      </c>
      <c r="U23" t="s">
        <v>525</v>
      </c>
    </row>
    <row r="24" spans="1:21">
      <c r="A24" t="s">
        <v>168</v>
      </c>
      <c r="B24">
        <v>2</v>
      </c>
      <c r="C24" t="s">
        <v>516</v>
      </c>
      <c r="D24">
        <v>4596</v>
      </c>
      <c r="E24" t="s">
        <v>549</v>
      </c>
      <c r="F24">
        <v>20774.12</v>
      </c>
      <c r="G24">
        <v>0</v>
      </c>
      <c r="I24" t="s">
        <v>579</v>
      </c>
      <c r="J24">
        <v>48</v>
      </c>
      <c r="K24">
        <v>13</v>
      </c>
      <c r="L24">
        <v>1027.547</v>
      </c>
      <c r="M24">
        <v>13</v>
      </c>
      <c r="N24">
        <v>1027.547</v>
      </c>
      <c r="O24">
        <v>1008.7</v>
      </c>
      <c r="P24">
        <v>1.413</v>
      </c>
      <c r="Q24">
        <v>13</v>
      </c>
      <c r="R24">
        <v>0</v>
      </c>
      <c r="S24">
        <v>0</v>
      </c>
      <c r="T24">
        <v>0</v>
      </c>
      <c r="U24" t="s">
        <v>580</v>
      </c>
    </row>
    <row r="25" spans="1:21">
      <c r="A25" t="s">
        <v>168</v>
      </c>
      <c r="B25">
        <v>3</v>
      </c>
      <c r="C25" t="s">
        <v>516</v>
      </c>
      <c r="D25">
        <v>4513</v>
      </c>
      <c r="E25" t="s">
        <v>549</v>
      </c>
      <c r="F25">
        <v>20889.862</v>
      </c>
      <c r="G25">
        <v>0</v>
      </c>
      <c r="I25" t="s">
        <v>581</v>
      </c>
      <c r="J25">
        <v>49</v>
      </c>
      <c r="K25">
        <v>10</v>
      </c>
      <c r="L25">
        <v>877.386</v>
      </c>
      <c r="M25">
        <v>10</v>
      </c>
      <c r="N25">
        <v>877.386</v>
      </c>
      <c r="O25">
        <v>855.7</v>
      </c>
      <c r="P25">
        <v>2.068</v>
      </c>
      <c r="Q25">
        <v>10</v>
      </c>
      <c r="R25">
        <v>0</v>
      </c>
      <c r="S25">
        <v>0</v>
      </c>
      <c r="T25">
        <v>0</v>
      </c>
      <c r="U25" t="s">
        <v>582</v>
      </c>
    </row>
    <row r="26" spans="1:21">
      <c r="A26" t="s">
        <v>214</v>
      </c>
      <c r="B26">
        <v>1</v>
      </c>
      <c r="C26" t="s">
        <v>516</v>
      </c>
      <c r="D26">
        <v>3772</v>
      </c>
      <c r="E26" t="s">
        <v>549</v>
      </c>
      <c r="F26">
        <v>6980.387</v>
      </c>
      <c r="G26">
        <v>0</v>
      </c>
      <c r="I26" t="s">
        <v>583</v>
      </c>
      <c r="J26">
        <v>42</v>
      </c>
      <c r="K26">
        <v>31</v>
      </c>
      <c r="L26">
        <v>130.957</v>
      </c>
      <c r="M26">
        <v>31</v>
      </c>
      <c r="N26">
        <v>130.957</v>
      </c>
      <c r="O26">
        <v>109.5</v>
      </c>
      <c r="P26">
        <v>16.092</v>
      </c>
      <c r="Q26">
        <v>31</v>
      </c>
      <c r="R26">
        <v>0</v>
      </c>
      <c r="S26">
        <v>0</v>
      </c>
      <c r="T26">
        <v>0</v>
      </c>
      <c r="U26" t="s">
        <v>584</v>
      </c>
    </row>
    <row r="27" spans="1:21">
      <c r="A27" t="s">
        <v>214</v>
      </c>
      <c r="B27">
        <v>2</v>
      </c>
      <c r="C27" t="s">
        <v>516</v>
      </c>
      <c r="D27">
        <v>4057</v>
      </c>
      <c r="E27" t="s">
        <v>549</v>
      </c>
      <c r="F27">
        <v>7282.063</v>
      </c>
      <c r="G27">
        <v>0</v>
      </c>
      <c r="I27" t="s">
        <v>585</v>
      </c>
      <c r="J27">
        <v>45</v>
      </c>
      <c r="K27">
        <v>34</v>
      </c>
      <c r="L27">
        <v>130.157</v>
      </c>
      <c r="M27">
        <v>34</v>
      </c>
      <c r="N27">
        <v>130.157</v>
      </c>
      <c r="O27">
        <v>106.8</v>
      </c>
      <c r="P27">
        <v>22.884</v>
      </c>
      <c r="Q27">
        <v>34</v>
      </c>
      <c r="R27">
        <v>0</v>
      </c>
      <c r="S27">
        <v>0</v>
      </c>
      <c r="T27">
        <v>0</v>
      </c>
      <c r="U27" t="s">
        <v>586</v>
      </c>
    </row>
    <row r="28" spans="1:21">
      <c r="A28" t="s">
        <v>214</v>
      </c>
      <c r="B28">
        <v>3</v>
      </c>
      <c r="C28" t="s">
        <v>516</v>
      </c>
      <c r="D28">
        <v>3963</v>
      </c>
      <c r="E28" t="s">
        <v>549</v>
      </c>
      <c r="F28">
        <v>7182.457</v>
      </c>
      <c r="G28">
        <v>0</v>
      </c>
      <c r="I28" t="s">
        <v>587</v>
      </c>
      <c r="J28">
        <v>39</v>
      </c>
      <c r="K28">
        <v>28</v>
      </c>
      <c r="L28">
        <v>148.918</v>
      </c>
      <c r="M28">
        <v>28</v>
      </c>
      <c r="N28">
        <v>148.918</v>
      </c>
      <c r="O28">
        <v>126.5</v>
      </c>
      <c r="P28">
        <v>10.16</v>
      </c>
      <c r="Q28">
        <v>28</v>
      </c>
      <c r="R28">
        <v>0</v>
      </c>
      <c r="S28">
        <v>0</v>
      </c>
      <c r="T28">
        <v>0</v>
      </c>
      <c r="U28" t="s">
        <v>526</v>
      </c>
    </row>
    <row r="29" spans="1:21">
      <c r="A29" t="s">
        <v>253</v>
      </c>
      <c r="B29">
        <v>1</v>
      </c>
      <c r="C29" t="s">
        <v>516</v>
      </c>
      <c r="D29">
        <v>7254</v>
      </c>
      <c r="E29" t="s">
        <v>549</v>
      </c>
      <c r="F29">
        <v>7733.96</v>
      </c>
      <c r="G29">
        <v>0</v>
      </c>
      <c r="I29" t="s">
        <v>588</v>
      </c>
      <c r="J29">
        <v>11</v>
      </c>
      <c r="K29">
        <v>10</v>
      </c>
      <c r="L29">
        <v>32.396</v>
      </c>
      <c r="M29">
        <v>7</v>
      </c>
      <c r="N29">
        <v>18.328</v>
      </c>
      <c r="O29">
        <v>14.6</v>
      </c>
      <c r="P29">
        <v>1.549</v>
      </c>
      <c r="Q29">
        <v>7</v>
      </c>
      <c r="R29">
        <v>0</v>
      </c>
      <c r="S29">
        <v>0</v>
      </c>
      <c r="T29">
        <v>0</v>
      </c>
      <c r="U29" t="s">
        <v>527</v>
      </c>
    </row>
    <row r="30" spans="1:21">
      <c r="A30" t="s">
        <v>253</v>
      </c>
      <c r="B30">
        <v>2</v>
      </c>
      <c r="C30" t="s">
        <v>516</v>
      </c>
      <c r="D30">
        <v>7241</v>
      </c>
      <c r="E30" t="s">
        <v>549</v>
      </c>
      <c r="F30">
        <v>7786.984</v>
      </c>
      <c r="G30">
        <v>0</v>
      </c>
      <c r="I30" t="s">
        <v>588</v>
      </c>
      <c r="J30">
        <v>11</v>
      </c>
      <c r="K30">
        <v>10</v>
      </c>
      <c r="L30">
        <v>31.081</v>
      </c>
      <c r="M30">
        <v>7</v>
      </c>
      <c r="N30">
        <v>17.571</v>
      </c>
      <c r="O30">
        <v>13.1</v>
      </c>
      <c r="P30">
        <v>0.772</v>
      </c>
      <c r="Q30">
        <v>7</v>
      </c>
      <c r="R30">
        <v>0</v>
      </c>
      <c r="S30">
        <v>0</v>
      </c>
      <c r="T30">
        <v>0</v>
      </c>
      <c r="U30" t="s">
        <v>589</v>
      </c>
    </row>
    <row r="31" spans="1:21">
      <c r="A31" t="s">
        <v>253</v>
      </c>
      <c r="B31">
        <v>3</v>
      </c>
      <c r="C31" t="s">
        <v>516</v>
      </c>
      <c r="D31">
        <v>7258</v>
      </c>
      <c r="E31" t="s">
        <v>549</v>
      </c>
      <c r="F31">
        <v>7786.487</v>
      </c>
      <c r="G31">
        <v>0</v>
      </c>
      <c r="I31" t="s">
        <v>588</v>
      </c>
      <c r="J31">
        <v>11</v>
      </c>
      <c r="K31">
        <v>10</v>
      </c>
      <c r="L31">
        <v>28.721</v>
      </c>
      <c r="M31">
        <v>7</v>
      </c>
      <c r="N31">
        <v>18.048</v>
      </c>
      <c r="O31">
        <v>14.2</v>
      </c>
      <c r="P31">
        <v>1.85</v>
      </c>
      <c r="Q31">
        <v>7</v>
      </c>
      <c r="R31">
        <v>0</v>
      </c>
      <c r="S31">
        <v>0</v>
      </c>
      <c r="T31">
        <v>0</v>
      </c>
      <c r="U31" t="s">
        <v>590</v>
      </c>
    </row>
    <row r="32" spans="1:21">
      <c r="A32" t="s">
        <v>259</v>
      </c>
      <c r="B32">
        <v>1</v>
      </c>
      <c r="C32" t="s">
        <v>516</v>
      </c>
      <c r="D32">
        <v>5701</v>
      </c>
      <c r="E32" t="s">
        <v>549</v>
      </c>
      <c r="F32">
        <v>7479.348</v>
      </c>
      <c r="G32">
        <v>0</v>
      </c>
      <c r="I32" t="s">
        <v>591</v>
      </c>
      <c r="J32">
        <v>32</v>
      </c>
      <c r="K32">
        <v>19</v>
      </c>
      <c r="L32">
        <v>157.139</v>
      </c>
      <c r="M32">
        <v>19</v>
      </c>
      <c r="N32">
        <v>157.139</v>
      </c>
      <c r="O32">
        <v>110.9</v>
      </c>
      <c r="P32">
        <v>2.104</v>
      </c>
      <c r="Q32">
        <v>19</v>
      </c>
      <c r="R32">
        <v>0</v>
      </c>
      <c r="S32">
        <v>0</v>
      </c>
      <c r="T32">
        <v>0</v>
      </c>
      <c r="U32" t="s">
        <v>528</v>
      </c>
    </row>
    <row r="33" spans="1:21">
      <c r="A33" t="s">
        <v>259</v>
      </c>
      <c r="B33">
        <v>2</v>
      </c>
      <c r="C33" t="s">
        <v>516</v>
      </c>
      <c r="D33">
        <v>5733</v>
      </c>
      <c r="E33" t="s">
        <v>549</v>
      </c>
      <c r="F33">
        <v>7430.18</v>
      </c>
      <c r="G33">
        <v>0</v>
      </c>
      <c r="I33" t="s">
        <v>592</v>
      </c>
      <c r="J33">
        <v>32</v>
      </c>
      <c r="K33">
        <v>18</v>
      </c>
      <c r="L33">
        <v>157.198</v>
      </c>
      <c r="M33">
        <v>18</v>
      </c>
      <c r="N33">
        <v>157.198</v>
      </c>
      <c r="O33">
        <v>88.4</v>
      </c>
      <c r="P33">
        <v>0.983</v>
      </c>
      <c r="Q33">
        <v>18</v>
      </c>
      <c r="R33">
        <v>0</v>
      </c>
      <c r="S33">
        <v>0</v>
      </c>
      <c r="T33">
        <v>0</v>
      </c>
      <c r="U33" t="s">
        <v>593</v>
      </c>
    </row>
    <row r="34" spans="1:21">
      <c r="A34" t="s">
        <v>259</v>
      </c>
      <c r="B34">
        <v>3</v>
      </c>
      <c r="C34" t="s">
        <v>516</v>
      </c>
      <c r="D34">
        <v>5649</v>
      </c>
      <c r="E34" t="s">
        <v>549</v>
      </c>
      <c r="F34">
        <v>7429.115</v>
      </c>
      <c r="G34">
        <v>0</v>
      </c>
      <c r="I34" t="s">
        <v>594</v>
      </c>
      <c r="J34">
        <v>31</v>
      </c>
      <c r="K34">
        <v>18</v>
      </c>
      <c r="L34">
        <v>132.879</v>
      </c>
      <c r="M34">
        <v>18</v>
      </c>
      <c r="N34">
        <v>132.879</v>
      </c>
      <c r="O34">
        <v>93.3</v>
      </c>
      <c r="P34">
        <v>0.96</v>
      </c>
      <c r="Q34">
        <v>18</v>
      </c>
      <c r="R34">
        <v>0</v>
      </c>
      <c r="S34">
        <v>0</v>
      </c>
      <c r="T34">
        <v>0</v>
      </c>
      <c r="U34" t="s">
        <v>595</v>
      </c>
    </row>
    <row r="35" spans="1:21">
      <c r="A35" t="s">
        <v>280</v>
      </c>
      <c r="B35">
        <v>1</v>
      </c>
      <c r="C35" t="s">
        <v>516</v>
      </c>
      <c r="D35">
        <v>6382</v>
      </c>
      <c r="E35" t="s">
        <v>549</v>
      </c>
      <c r="F35">
        <v>9581.476</v>
      </c>
      <c r="G35">
        <v>0</v>
      </c>
      <c r="I35" t="s">
        <v>596</v>
      </c>
      <c r="J35">
        <v>27</v>
      </c>
      <c r="K35">
        <v>15</v>
      </c>
      <c r="L35">
        <v>121.613</v>
      </c>
      <c r="M35">
        <v>11</v>
      </c>
      <c r="N35">
        <v>121.443</v>
      </c>
      <c r="O35">
        <v>110.6</v>
      </c>
      <c r="P35">
        <v>0.651</v>
      </c>
      <c r="Q35">
        <v>11</v>
      </c>
      <c r="R35">
        <v>0</v>
      </c>
      <c r="S35">
        <v>0</v>
      </c>
      <c r="T35">
        <v>0</v>
      </c>
      <c r="U35" t="s">
        <v>597</v>
      </c>
    </row>
    <row r="36" spans="1:21">
      <c r="A36" t="s">
        <v>280</v>
      </c>
      <c r="B36">
        <v>2</v>
      </c>
      <c r="C36" t="s">
        <v>516</v>
      </c>
      <c r="D36">
        <v>6500</v>
      </c>
      <c r="E36" t="s">
        <v>549</v>
      </c>
      <c r="F36">
        <v>9784.772</v>
      </c>
      <c r="G36">
        <v>0</v>
      </c>
      <c r="I36" t="s">
        <v>598</v>
      </c>
      <c r="J36">
        <v>29</v>
      </c>
      <c r="K36">
        <v>17</v>
      </c>
      <c r="L36">
        <v>103.84</v>
      </c>
      <c r="M36">
        <v>13</v>
      </c>
      <c r="N36">
        <v>103.672</v>
      </c>
      <c r="O36">
        <v>93.3</v>
      </c>
      <c r="P36">
        <v>0.768</v>
      </c>
      <c r="Q36">
        <v>13</v>
      </c>
      <c r="R36">
        <v>0</v>
      </c>
      <c r="S36">
        <v>0</v>
      </c>
      <c r="T36">
        <v>0</v>
      </c>
      <c r="U36" t="s">
        <v>529</v>
      </c>
    </row>
    <row r="37" spans="1:21">
      <c r="A37" t="s">
        <v>280</v>
      </c>
      <c r="B37">
        <v>3</v>
      </c>
      <c r="C37" t="s">
        <v>516</v>
      </c>
      <c r="D37">
        <v>6572</v>
      </c>
      <c r="E37" t="s">
        <v>549</v>
      </c>
      <c r="F37">
        <v>9784.524</v>
      </c>
      <c r="G37">
        <v>0</v>
      </c>
      <c r="I37" t="s">
        <v>599</v>
      </c>
      <c r="J37">
        <v>25</v>
      </c>
      <c r="K37">
        <v>13</v>
      </c>
      <c r="L37">
        <v>89.36</v>
      </c>
      <c r="M37">
        <v>11</v>
      </c>
      <c r="N37">
        <v>89.246</v>
      </c>
      <c r="O37">
        <v>78.9</v>
      </c>
      <c r="P37">
        <v>0.526</v>
      </c>
      <c r="Q37">
        <v>11</v>
      </c>
      <c r="R37">
        <v>0</v>
      </c>
      <c r="S37">
        <v>0</v>
      </c>
      <c r="T37">
        <v>0</v>
      </c>
      <c r="U37" t="s">
        <v>600</v>
      </c>
    </row>
    <row r="38" spans="1:21">
      <c r="A38" t="s">
        <v>303</v>
      </c>
      <c r="B38">
        <v>1</v>
      </c>
      <c r="C38" t="s">
        <v>516</v>
      </c>
      <c r="D38">
        <v>4357</v>
      </c>
      <c r="E38" t="s">
        <v>549</v>
      </c>
      <c r="F38">
        <v>15792.382</v>
      </c>
      <c r="G38">
        <v>0</v>
      </c>
      <c r="I38" t="s">
        <v>601</v>
      </c>
      <c r="J38">
        <v>19</v>
      </c>
      <c r="K38">
        <v>18</v>
      </c>
      <c r="L38">
        <v>45.915</v>
      </c>
      <c r="M38">
        <v>18</v>
      </c>
      <c r="N38">
        <v>45.915</v>
      </c>
      <c r="O38">
        <v>37.8</v>
      </c>
      <c r="P38">
        <v>7.515</v>
      </c>
      <c r="Q38">
        <v>18</v>
      </c>
      <c r="R38">
        <v>0</v>
      </c>
      <c r="S38">
        <v>0</v>
      </c>
      <c r="T38">
        <v>0</v>
      </c>
      <c r="U38" t="s">
        <v>602</v>
      </c>
    </row>
    <row r="39" spans="1:21">
      <c r="A39" t="s">
        <v>303</v>
      </c>
      <c r="B39">
        <v>2</v>
      </c>
      <c r="C39" t="s">
        <v>516</v>
      </c>
      <c r="D39">
        <v>4246</v>
      </c>
      <c r="E39" t="s">
        <v>549</v>
      </c>
      <c r="F39">
        <v>15692.011</v>
      </c>
      <c r="G39">
        <v>0</v>
      </c>
      <c r="I39" t="s">
        <v>601</v>
      </c>
      <c r="J39">
        <v>19</v>
      </c>
      <c r="K39">
        <v>18</v>
      </c>
      <c r="L39">
        <v>44.528</v>
      </c>
      <c r="M39">
        <v>18</v>
      </c>
      <c r="N39">
        <v>44.528</v>
      </c>
      <c r="O39">
        <v>36.4</v>
      </c>
      <c r="P39">
        <v>7.665</v>
      </c>
      <c r="Q39">
        <v>18</v>
      </c>
      <c r="R39">
        <v>0</v>
      </c>
      <c r="S39">
        <v>0</v>
      </c>
      <c r="T39">
        <v>0</v>
      </c>
      <c r="U39" t="s">
        <v>530</v>
      </c>
    </row>
    <row r="40" spans="1:21">
      <c r="A40" t="s">
        <v>303</v>
      </c>
      <c r="B40">
        <v>3</v>
      </c>
      <c r="C40" t="s">
        <v>516</v>
      </c>
      <c r="D40">
        <v>4205</v>
      </c>
      <c r="E40" t="s">
        <v>549</v>
      </c>
      <c r="F40">
        <v>15290.404</v>
      </c>
      <c r="G40">
        <v>0</v>
      </c>
      <c r="I40" t="s">
        <v>601</v>
      </c>
      <c r="J40">
        <v>19</v>
      </c>
      <c r="K40">
        <v>18</v>
      </c>
      <c r="L40">
        <v>48.723</v>
      </c>
      <c r="M40">
        <v>18</v>
      </c>
      <c r="N40">
        <v>48.723</v>
      </c>
      <c r="O40">
        <v>38.6</v>
      </c>
      <c r="P40">
        <v>5.433</v>
      </c>
      <c r="Q40">
        <v>18</v>
      </c>
      <c r="R40">
        <v>0</v>
      </c>
      <c r="S40">
        <v>0</v>
      </c>
      <c r="T40">
        <v>0</v>
      </c>
      <c r="U40" t="s">
        <v>603</v>
      </c>
    </row>
    <row r="41" spans="1:21">
      <c r="A41" t="s">
        <v>318</v>
      </c>
      <c r="B41">
        <v>1</v>
      </c>
      <c r="C41" t="s">
        <v>516</v>
      </c>
      <c r="D41">
        <v>3128</v>
      </c>
      <c r="E41" t="s">
        <v>549</v>
      </c>
      <c r="F41">
        <v>4737.818</v>
      </c>
      <c r="G41">
        <v>0</v>
      </c>
      <c r="I41" t="s">
        <v>604</v>
      </c>
      <c r="J41">
        <v>45</v>
      </c>
      <c r="K41">
        <v>40</v>
      </c>
      <c r="L41">
        <v>76.519</v>
      </c>
      <c r="M41">
        <v>40</v>
      </c>
      <c r="N41">
        <v>76.519</v>
      </c>
      <c r="O41">
        <v>49.6</v>
      </c>
      <c r="P41">
        <v>1.363</v>
      </c>
      <c r="Q41">
        <v>40</v>
      </c>
      <c r="R41">
        <v>0</v>
      </c>
      <c r="S41">
        <v>0</v>
      </c>
      <c r="T41">
        <v>0</v>
      </c>
      <c r="U41" t="s">
        <v>605</v>
      </c>
    </row>
    <row r="42" spans="1:21">
      <c r="A42" t="s">
        <v>318</v>
      </c>
      <c r="B42">
        <v>2</v>
      </c>
      <c r="C42" t="s">
        <v>516</v>
      </c>
      <c r="D42">
        <v>3068</v>
      </c>
      <c r="E42" t="s">
        <v>549</v>
      </c>
      <c r="F42">
        <v>4730.077</v>
      </c>
      <c r="G42">
        <v>0</v>
      </c>
      <c r="I42" t="s">
        <v>604</v>
      </c>
      <c r="J42">
        <v>45</v>
      </c>
      <c r="K42">
        <v>40</v>
      </c>
      <c r="L42">
        <v>76.381</v>
      </c>
      <c r="M42">
        <v>40</v>
      </c>
      <c r="N42">
        <v>76.381</v>
      </c>
      <c r="O42">
        <v>49.1</v>
      </c>
      <c r="P42">
        <v>1.018</v>
      </c>
      <c r="Q42">
        <v>40</v>
      </c>
      <c r="R42">
        <v>0</v>
      </c>
      <c r="S42">
        <v>0</v>
      </c>
      <c r="T42">
        <v>0</v>
      </c>
      <c r="U42" t="s">
        <v>606</v>
      </c>
    </row>
    <row r="43" spans="1:21">
      <c r="A43" t="s">
        <v>318</v>
      </c>
      <c r="B43">
        <v>3</v>
      </c>
      <c r="C43" t="s">
        <v>516</v>
      </c>
      <c r="D43">
        <v>3094</v>
      </c>
      <c r="E43" t="s">
        <v>549</v>
      </c>
      <c r="F43">
        <v>4885.539</v>
      </c>
      <c r="G43">
        <v>0</v>
      </c>
      <c r="I43" t="s">
        <v>607</v>
      </c>
      <c r="J43">
        <v>46</v>
      </c>
      <c r="K43">
        <v>41</v>
      </c>
      <c r="L43">
        <v>79.665</v>
      </c>
      <c r="M43">
        <v>41</v>
      </c>
      <c r="N43">
        <v>79.665</v>
      </c>
      <c r="O43">
        <v>50.6</v>
      </c>
      <c r="P43">
        <v>1.316</v>
      </c>
      <c r="Q43">
        <v>41</v>
      </c>
      <c r="R43">
        <v>0</v>
      </c>
      <c r="S43">
        <v>0</v>
      </c>
      <c r="T43">
        <v>0</v>
      </c>
      <c r="U43" t="s">
        <v>531</v>
      </c>
    </row>
    <row r="44" spans="1:21">
      <c r="A44" t="s">
        <v>334</v>
      </c>
      <c r="B44">
        <v>1</v>
      </c>
      <c r="C44" t="s">
        <v>516</v>
      </c>
      <c r="D44">
        <v>4885</v>
      </c>
      <c r="E44" t="s">
        <v>549</v>
      </c>
      <c r="F44">
        <v>5893.993</v>
      </c>
      <c r="G44">
        <v>0</v>
      </c>
      <c r="I44" t="s">
        <v>608</v>
      </c>
      <c r="J44">
        <v>31</v>
      </c>
      <c r="K44">
        <v>28</v>
      </c>
      <c r="L44">
        <v>937.421</v>
      </c>
      <c r="M44">
        <v>24</v>
      </c>
      <c r="N44">
        <v>937.325</v>
      </c>
      <c r="O44">
        <v>911.1</v>
      </c>
      <c r="P44">
        <v>14.617</v>
      </c>
      <c r="Q44">
        <v>24</v>
      </c>
      <c r="R44">
        <v>0</v>
      </c>
      <c r="S44">
        <v>0</v>
      </c>
      <c r="T44">
        <v>0</v>
      </c>
      <c r="U44" t="s">
        <v>609</v>
      </c>
    </row>
    <row r="45" spans="1:21">
      <c r="A45" t="s">
        <v>334</v>
      </c>
      <c r="B45">
        <v>2</v>
      </c>
      <c r="C45" t="s">
        <v>516</v>
      </c>
      <c r="D45">
        <v>5074</v>
      </c>
      <c r="E45" t="s">
        <v>549</v>
      </c>
      <c r="F45">
        <v>6246.536</v>
      </c>
      <c r="G45">
        <v>0</v>
      </c>
      <c r="I45" t="s">
        <v>610</v>
      </c>
      <c r="J45">
        <v>29</v>
      </c>
      <c r="K45">
        <v>26</v>
      </c>
      <c r="L45">
        <v>948.49</v>
      </c>
      <c r="M45">
        <v>24</v>
      </c>
      <c r="N45">
        <v>948.406</v>
      </c>
      <c r="O45">
        <v>918.8</v>
      </c>
      <c r="P45">
        <v>16.572</v>
      </c>
      <c r="Q45">
        <v>24</v>
      </c>
      <c r="R45">
        <v>0</v>
      </c>
      <c r="S45">
        <v>0</v>
      </c>
      <c r="T45">
        <v>0</v>
      </c>
      <c r="U45" t="s">
        <v>611</v>
      </c>
    </row>
    <row r="46" spans="1:21">
      <c r="A46" t="s">
        <v>334</v>
      </c>
      <c r="B46">
        <v>3</v>
      </c>
      <c r="C46" t="s">
        <v>516</v>
      </c>
      <c r="D46">
        <v>4970</v>
      </c>
      <c r="E46" t="s">
        <v>549</v>
      </c>
      <c r="F46">
        <v>5644.946</v>
      </c>
      <c r="G46">
        <v>0</v>
      </c>
      <c r="I46" t="s">
        <v>612</v>
      </c>
      <c r="J46">
        <v>28</v>
      </c>
      <c r="K46">
        <v>25</v>
      </c>
      <c r="L46">
        <v>922.782</v>
      </c>
      <c r="M46">
        <v>23</v>
      </c>
      <c r="N46">
        <v>922.702</v>
      </c>
      <c r="O46">
        <v>896.7</v>
      </c>
      <c r="P46">
        <v>8.714</v>
      </c>
      <c r="Q46">
        <v>23</v>
      </c>
      <c r="R46">
        <v>0</v>
      </c>
      <c r="S46">
        <v>0</v>
      </c>
      <c r="T46">
        <v>0</v>
      </c>
      <c r="U46" t="s">
        <v>532</v>
      </c>
    </row>
    <row r="47" spans="1:21">
      <c r="A47" t="s">
        <v>358</v>
      </c>
      <c r="B47">
        <v>1</v>
      </c>
      <c r="C47" t="s">
        <v>516</v>
      </c>
      <c r="D47">
        <v>4756</v>
      </c>
      <c r="E47" t="s">
        <v>549</v>
      </c>
      <c r="F47">
        <v>11461.588</v>
      </c>
      <c r="G47">
        <v>0</v>
      </c>
      <c r="I47" t="s">
        <v>613</v>
      </c>
      <c r="J47">
        <v>56</v>
      </c>
      <c r="K47">
        <v>23</v>
      </c>
      <c r="L47">
        <v>212.652</v>
      </c>
      <c r="M47">
        <v>23</v>
      </c>
      <c r="N47">
        <v>212.652</v>
      </c>
      <c r="O47">
        <v>182.7</v>
      </c>
      <c r="P47">
        <v>0.438</v>
      </c>
      <c r="Q47">
        <v>23</v>
      </c>
      <c r="R47">
        <v>0</v>
      </c>
      <c r="S47">
        <v>0</v>
      </c>
      <c r="T47">
        <v>0</v>
      </c>
      <c r="U47" t="s">
        <v>614</v>
      </c>
    </row>
    <row r="48" spans="1:21">
      <c r="A48" t="s">
        <v>358</v>
      </c>
      <c r="B48">
        <v>2</v>
      </c>
      <c r="C48" t="s">
        <v>516</v>
      </c>
      <c r="D48">
        <v>4548</v>
      </c>
      <c r="E48" t="s">
        <v>549</v>
      </c>
      <c r="F48">
        <v>13328.539</v>
      </c>
      <c r="G48">
        <v>0</v>
      </c>
      <c r="I48" t="s">
        <v>615</v>
      </c>
      <c r="J48">
        <v>53</v>
      </c>
      <c r="K48">
        <v>20</v>
      </c>
      <c r="L48">
        <v>222.727</v>
      </c>
      <c r="M48">
        <v>20</v>
      </c>
      <c r="N48">
        <v>222.727</v>
      </c>
      <c r="O48">
        <v>193.4</v>
      </c>
      <c r="P48">
        <v>0.346</v>
      </c>
      <c r="Q48">
        <v>20</v>
      </c>
      <c r="R48">
        <v>0</v>
      </c>
      <c r="S48">
        <v>0</v>
      </c>
      <c r="T48">
        <v>0</v>
      </c>
      <c r="U48" t="s">
        <v>616</v>
      </c>
    </row>
    <row r="49" spans="1:21">
      <c r="A49" t="s">
        <v>358</v>
      </c>
      <c r="B49">
        <v>3</v>
      </c>
      <c r="C49" t="s">
        <v>516</v>
      </c>
      <c r="D49">
        <v>4649</v>
      </c>
      <c r="E49" t="s">
        <v>549</v>
      </c>
      <c r="F49">
        <v>12018.35</v>
      </c>
      <c r="G49">
        <v>0</v>
      </c>
      <c r="I49" t="s">
        <v>617</v>
      </c>
      <c r="J49">
        <v>53</v>
      </c>
      <c r="K49">
        <v>20</v>
      </c>
      <c r="L49">
        <v>222.836</v>
      </c>
      <c r="M49">
        <v>20</v>
      </c>
      <c r="N49">
        <v>222.836</v>
      </c>
      <c r="O49">
        <v>193.2</v>
      </c>
      <c r="P49">
        <v>0.458</v>
      </c>
      <c r="Q49">
        <v>20</v>
      </c>
      <c r="R49">
        <v>0</v>
      </c>
      <c r="S49">
        <v>0</v>
      </c>
      <c r="T49">
        <v>0</v>
      </c>
      <c r="U49" t="s">
        <v>533</v>
      </c>
    </row>
    <row r="50" spans="1:21">
      <c r="A50" t="s">
        <v>393</v>
      </c>
      <c r="B50">
        <v>1</v>
      </c>
      <c r="C50" t="s">
        <v>516</v>
      </c>
      <c r="D50">
        <v>3544</v>
      </c>
      <c r="E50" t="s">
        <v>549</v>
      </c>
      <c r="F50">
        <v>6442.963</v>
      </c>
      <c r="G50">
        <v>0</v>
      </c>
      <c r="I50" t="s">
        <v>618</v>
      </c>
      <c r="J50">
        <v>28</v>
      </c>
      <c r="K50">
        <v>25</v>
      </c>
      <c r="L50">
        <v>171.476</v>
      </c>
      <c r="M50">
        <v>25</v>
      </c>
      <c r="N50">
        <v>171.476</v>
      </c>
      <c r="O50">
        <v>153.6</v>
      </c>
      <c r="P50">
        <v>14.257</v>
      </c>
      <c r="Q50">
        <v>25</v>
      </c>
      <c r="R50">
        <v>0</v>
      </c>
      <c r="S50">
        <v>0</v>
      </c>
      <c r="T50">
        <v>0</v>
      </c>
      <c r="U50" t="s">
        <v>619</v>
      </c>
    </row>
    <row r="51" spans="1:21">
      <c r="A51" t="s">
        <v>393</v>
      </c>
      <c r="B51">
        <v>2</v>
      </c>
      <c r="C51" t="s">
        <v>516</v>
      </c>
      <c r="D51">
        <v>3501</v>
      </c>
      <c r="E51" t="s">
        <v>549</v>
      </c>
      <c r="F51">
        <v>3981.423</v>
      </c>
      <c r="G51">
        <v>0</v>
      </c>
      <c r="I51" t="s">
        <v>620</v>
      </c>
      <c r="J51">
        <v>29</v>
      </c>
      <c r="K51">
        <v>26</v>
      </c>
      <c r="L51">
        <v>169.682</v>
      </c>
      <c r="M51">
        <v>26</v>
      </c>
      <c r="N51">
        <v>169.682</v>
      </c>
      <c r="O51">
        <v>150.5</v>
      </c>
      <c r="P51">
        <v>15.904</v>
      </c>
      <c r="Q51">
        <v>26</v>
      </c>
      <c r="R51">
        <v>0</v>
      </c>
      <c r="S51">
        <v>0</v>
      </c>
      <c r="T51">
        <v>0</v>
      </c>
      <c r="U51" t="s">
        <v>621</v>
      </c>
    </row>
    <row r="52" spans="1:21">
      <c r="A52" t="s">
        <v>393</v>
      </c>
      <c r="B52">
        <v>3</v>
      </c>
      <c r="C52" t="s">
        <v>516</v>
      </c>
      <c r="D52">
        <v>3533</v>
      </c>
      <c r="E52" t="s">
        <v>549</v>
      </c>
      <c r="F52">
        <v>3982.557</v>
      </c>
      <c r="G52">
        <v>0</v>
      </c>
      <c r="I52" t="s">
        <v>620</v>
      </c>
      <c r="J52">
        <v>29</v>
      </c>
      <c r="K52">
        <v>26</v>
      </c>
      <c r="L52">
        <v>173.918</v>
      </c>
      <c r="M52">
        <v>26</v>
      </c>
      <c r="N52">
        <v>173.918</v>
      </c>
      <c r="O52">
        <v>154.3</v>
      </c>
      <c r="P52">
        <v>16.423</v>
      </c>
      <c r="Q52">
        <v>26</v>
      </c>
      <c r="R52">
        <v>0</v>
      </c>
      <c r="S52">
        <v>0</v>
      </c>
      <c r="T52">
        <v>0</v>
      </c>
      <c r="U52" t="s">
        <v>534</v>
      </c>
    </row>
    <row r="53" spans="1:21">
      <c r="A53" t="s">
        <v>413</v>
      </c>
      <c r="B53">
        <v>1</v>
      </c>
      <c r="C53" t="s">
        <v>516</v>
      </c>
      <c r="D53">
        <v>8867</v>
      </c>
      <c r="E53" t="s">
        <v>549</v>
      </c>
      <c r="F53">
        <v>11886.788</v>
      </c>
      <c r="G53">
        <v>0</v>
      </c>
      <c r="I53" t="s">
        <v>622</v>
      </c>
      <c r="J53">
        <v>56</v>
      </c>
      <c r="K53">
        <v>36</v>
      </c>
      <c r="L53">
        <v>101.748</v>
      </c>
      <c r="M53">
        <v>34</v>
      </c>
      <c r="N53">
        <v>101.678</v>
      </c>
      <c r="O53">
        <v>80.7</v>
      </c>
      <c r="P53">
        <v>0.948</v>
      </c>
      <c r="Q53">
        <v>34</v>
      </c>
      <c r="R53">
        <v>0</v>
      </c>
      <c r="S53">
        <v>0</v>
      </c>
      <c r="T53">
        <v>0</v>
      </c>
      <c r="U53" t="s">
        <v>623</v>
      </c>
    </row>
    <row r="54" spans="1:21">
      <c r="A54" t="s">
        <v>413</v>
      </c>
      <c r="B54">
        <v>2</v>
      </c>
      <c r="C54" t="s">
        <v>516</v>
      </c>
      <c r="D54">
        <v>8905</v>
      </c>
      <c r="E54" t="s">
        <v>549</v>
      </c>
      <c r="F54">
        <v>11936.169</v>
      </c>
      <c r="G54">
        <v>0</v>
      </c>
      <c r="I54" t="s">
        <v>624</v>
      </c>
      <c r="J54">
        <v>49</v>
      </c>
      <c r="K54">
        <v>29</v>
      </c>
      <c r="L54">
        <v>149.404</v>
      </c>
      <c r="M54">
        <v>27</v>
      </c>
      <c r="N54">
        <v>149.338</v>
      </c>
      <c r="O54">
        <v>128.5</v>
      </c>
      <c r="P54">
        <v>0.506</v>
      </c>
      <c r="Q54">
        <v>27</v>
      </c>
      <c r="R54">
        <v>0</v>
      </c>
      <c r="S54">
        <v>0</v>
      </c>
      <c r="T54">
        <v>0</v>
      </c>
      <c r="U54" t="s">
        <v>535</v>
      </c>
    </row>
    <row r="55" spans="1:21">
      <c r="A55" t="s">
        <v>413</v>
      </c>
      <c r="B55">
        <v>3</v>
      </c>
      <c r="C55" t="s">
        <v>516</v>
      </c>
      <c r="D55">
        <v>8915</v>
      </c>
      <c r="E55" t="s">
        <v>549</v>
      </c>
      <c r="F55">
        <v>11887.607</v>
      </c>
      <c r="G55">
        <v>0</v>
      </c>
      <c r="I55" t="s">
        <v>625</v>
      </c>
      <c r="J55">
        <v>49</v>
      </c>
      <c r="K55">
        <v>29</v>
      </c>
      <c r="L55">
        <v>137.168</v>
      </c>
      <c r="M55">
        <v>27</v>
      </c>
      <c r="N55">
        <v>137.09</v>
      </c>
      <c r="O55">
        <v>117.4</v>
      </c>
      <c r="P55">
        <v>0.305</v>
      </c>
      <c r="Q55">
        <v>27</v>
      </c>
      <c r="R55">
        <v>0</v>
      </c>
      <c r="S55">
        <v>0</v>
      </c>
      <c r="T55">
        <v>0</v>
      </c>
      <c r="U55" t="s">
        <v>626</v>
      </c>
    </row>
    <row r="56" spans="1:21">
      <c r="A56" t="s">
        <v>432</v>
      </c>
      <c r="B56">
        <v>1</v>
      </c>
      <c r="C56" t="s">
        <v>516</v>
      </c>
      <c r="D56">
        <v>1924</v>
      </c>
      <c r="E56" t="s">
        <v>549</v>
      </c>
      <c r="F56">
        <v>2384.747</v>
      </c>
      <c r="G56">
        <v>0</v>
      </c>
      <c r="I56" t="s">
        <v>627</v>
      </c>
      <c r="J56">
        <v>21</v>
      </c>
      <c r="K56">
        <v>19</v>
      </c>
      <c r="L56">
        <v>61.337</v>
      </c>
      <c r="M56">
        <v>19</v>
      </c>
      <c r="N56">
        <v>61.337</v>
      </c>
      <c r="O56">
        <v>48.7</v>
      </c>
      <c r="P56">
        <v>2.166</v>
      </c>
      <c r="Q56">
        <v>19</v>
      </c>
      <c r="R56">
        <v>0</v>
      </c>
      <c r="S56">
        <v>0</v>
      </c>
      <c r="T56">
        <v>0</v>
      </c>
      <c r="U56" t="s">
        <v>628</v>
      </c>
    </row>
    <row r="57" spans="1:21">
      <c r="A57" t="s">
        <v>432</v>
      </c>
      <c r="B57">
        <v>2</v>
      </c>
      <c r="C57" t="s">
        <v>516</v>
      </c>
      <c r="D57">
        <v>1758</v>
      </c>
      <c r="E57" t="s">
        <v>549</v>
      </c>
      <c r="F57">
        <v>2229.358</v>
      </c>
      <c r="G57">
        <v>0</v>
      </c>
      <c r="I57" t="s">
        <v>629</v>
      </c>
      <c r="J57">
        <v>23</v>
      </c>
      <c r="K57">
        <v>21</v>
      </c>
      <c r="L57">
        <v>65.726</v>
      </c>
      <c r="M57">
        <v>21</v>
      </c>
      <c r="N57">
        <v>65.726</v>
      </c>
      <c r="O57">
        <v>54.4</v>
      </c>
      <c r="P57">
        <v>1.907</v>
      </c>
      <c r="Q57">
        <v>21</v>
      </c>
      <c r="R57">
        <v>0</v>
      </c>
      <c r="S57">
        <v>0</v>
      </c>
      <c r="T57">
        <v>0</v>
      </c>
      <c r="U57" t="s">
        <v>630</v>
      </c>
    </row>
    <row r="58" spans="1:21">
      <c r="A58" t="s">
        <v>432</v>
      </c>
      <c r="B58">
        <v>3</v>
      </c>
      <c r="C58" t="s">
        <v>516</v>
      </c>
      <c r="D58">
        <v>1772</v>
      </c>
      <c r="E58" t="s">
        <v>549</v>
      </c>
      <c r="F58">
        <v>2229.591</v>
      </c>
      <c r="G58">
        <v>0</v>
      </c>
      <c r="I58" t="s">
        <v>631</v>
      </c>
      <c r="J58">
        <v>22</v>
      </c>
      <c r="K58">
        <v>20</v>
      </c>
      <c r="L58">
        <v>65.149</v>
      </c>
      <c r="M58">
        <v>20</v>
      </c>
      <c r="N58">
        <v>65.149</v>
      </c>
      <c r="O58">
        <v>51.6</v>
      </c>
      <c r="P58">
        <v>2.74</v>
      </c>
      <c r="Q58">
        <v>20</v>
      </c>
      <c r="R58">
        <v>0</v>
      </c>
      <c r="S58">
        <v>0</v>
      </c>
      <c r="T58">
        <v>0</v>
      </c>
      <c r="U58" t="s">
        <v>536</v>
      </c>
    </row>
    <row r="59" spans="1:21">
      <c r="A59" t="s">
        <v>457</v>
      </c>
      <c r="B59">
        <v>1</v>
      </c>
      <c r="C59" t="s">
        <v>516</v>
      </c>
      <c r="D59">
        <v>2432</v>
      </c>
      <c r="E59" t="s">
        <v>549</v>
      </c>
      <c r="F59">
        <v>2882.031</v>
      </c>
      <c r="G59">
        <v>0</v>
      </c>
      <c r="I59" t="s">
        <v>632</v>
      </c>
      <c r="J59">
        <v>15</v>
      </c>
      <c r="K59">
        <v>11</v>
      </c>
      <c r="L59">
        <v>46.989</v>
      </c>
      <c r="M59">
        <v>11</v>
      </c>
      <c r="N59">
        <v>46.989</v>
      </c>
      <c r="O59">
        <v>40.3</v>
      </c>
      <c r="P59">
        <v>5.379</v>
      </c>
      <c r="Q59">
        <v>11</v>
      </c>
      <c r="R59">
        <v>0</v>
      </c>
      <c r="S59">
        <v>0</v>
      </c>
      <c r="T59">
        <v>0</v>
      </c>
      <c r="U59" t="s">
        <v>633</v>
      </c>
    </row>
    <row r="60" spans="1:21">
      <c r="A60" t="s">
        <v>457</v>
      </c>
      <c r="B60">
        <v>2</v>
      </c>
      <c r="C60" t="s">
        <v>516</v>
      </c>
      <c r="D60">
        <v>2258</v>
      </c>
      <c r="E60" t="s">
        <v>549</v>
      </c>
      <c r="F60">
        <v>2734.809</v>
      </c>
      <c r="G60">
        <v>0</v>
      </c>
      <c r="I60" t="s">
        <v>634</v>
      </c>
      <c r="J60">
        <v>16</v>
      </c>
      <c r="K60">
        <v>12</v>
      </c>
      <c r="L60">
        <v>36.52</v>
      </c>
      <c r="M60">
        <v>12</v>
      </c>
      <c r="N60">
        <v>36.52</v>
      </c>
      <c r="O60">
        <v>31</v>
      </c>
      <c r="P60">
        <v>3.43</v>
      </c>
      <c r="Q60">
        <v>12</v>
      </c>
      <c r="R60">
        <v>0</v>
      </c>
      <c r="S60">
        <v>0</v>
      </c>
      <c r="T60">
        <v>0</v>
      </c>
      <c r="U60" t="s">
        <v>635</v>
      </c>
    </row>
    <row r="61" spans="1:21">
      <c r="A61" t="s">
        <v>457</v>
      </c>
      <c r="B61">
        <v>3</v>
      </c>
      <c r="C61" t="s">
        <v>516</v>
      </c>
      <c r="D61">
        <v>2270</v>
      </c>
      <c r="E61" t="s">
        <v>549</v>
      </c>
      <c r="F61">
        <v>2736.975</v>
      </c>
      <c r="G61">
        <v>0</v>
      </c>
      <c r="I61" t="s">
        <v>632</v>
      </c>
      <c r="J61">
        <v>15</v>
      </c>
      <c r="K61">
        <v>11</v>
      </c>
      <c r="L61">
        <v>43.561</v>
      </c>
      <c r="M61">
        <v>11</v>
      </c>
      <c r="N61">
        <v>43.561</v>
      </c>
      <c r="O61">
        <v>37.6</v>
      </c>
      <c r="P61">
        <v>4.165</v>
      </c>
      <c r="Q61">
        <v>11</v>
      </c>
      <c r="R61">
        <v>0</v>
      </c>
      <c r="S61">
        <v>0</v>
      </c>
      <c r="T61">
        <v>0</v>
      </c>
      <c r="U61" t="s">
        <v>537</v>
      </c>
    </row>
  </sheetData>
  <autoFilter xmlns:etc="http://www.wps.cn/officeDocument/2017/etCustomData" ref="A1:U6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361"/>
  <sheetViews>
    <sheetView zoomScale="115" zoomScaleNormal="115" workbookViewId="0">
      <pane ySplit="1" topLeftCell="A2" activePane="bottomLeft" state="frozen"/>
      <selection/>
      <selection pane="bottomLeft" activeCell="B381" sqref="B381"/>
    </sheetView>
  </sheetViews>
  <sheetFormatPr defaultColWidth="8.85245901639344" defaultRowHeight="17.65"/>
  <cols>
    <col min="1" max="4" width="14" customWidth="1"/>
    <col min="5" max="5" width="19" customWidth="1"/>
    <col min="6" max="6" width="28" customWidth="1"/>
    <col min="7" max="7" width="26" customWidth="1"/>
    <col min="8" max="8" width="30" customWidth="1"/>
    <col min="9" max="9" width="18" customWidth="1"/>
    <col min="10" max="10" width="22" customWidth="1"/>
    <col min="11" max="11" width="19" customWidth="1"/>
    <col min="12" max="12" width="20" customWidth="1"/>
    <col min="13" max="13" width="22" customWidth="1"/>
    <col min="14" max="14" width="27" customWidth="1"/>
    <col min="15" max="15" width="28" customWidth="1"/>
    <col min="16" max="17" width="19" customWidth="1"/>
    <col min="18" max="18" width="37" customWidth="1"/>
    <col min="19" max="19" width="15" customWidth="1"/>
    <col min="20" max="21" width="14" customWidth="1"/>
    <col min="22" max="22" width="18" customWidth="1"/>
    <col min="23" max="26" width="14" customWidth="1"/>
    <col min="27" max="27" width="15" customWidth="1"/>
  </cols>
  <sheetData>
    <row r="1" spans="1:27">
      <c r="A1" s="1" t="s">
        <v>468</v>
      </c>
      <c r="B1" s="1" t="s">
        <v>538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488</v>
      </c>
      <c r="L1" s="1" t="s">
        <v>493</v>
      </c>
      <c r="M1" s="1" t="s">
        <v>644</v>
      </c>
      <c r="N1" s="1" t="s">
        <v>645</v>
      </c>
      <c r="O1" s="1" t="s">
        <v>646</v>
      </c>
      <c r="P1" s="1" t="s">
        <v>647</v>
      </c>
      <c r="Q1" s="1" t="s">
        <v>648</v>
      </c>
      <c r="R1" s="1" t="s">
        <v>649</v>
      </c>
      <c r="S1" s="1" t="s">
        <v>650</v>
      </c>
      <c r="T1" s="1" t="s">
        <v>651</v>
      </c>
      <c r="U1" s="1" t="s">
        <v>652</v>
      </c>
      <c r="V1" s="1" t="s">
        <v>653</v>
      </c>
      <c r="W1" s="1" t="s">
        <v>654</v>
      </c>
      <c r="X1" s="1" t="s">
        <v>655</v>
      </c>
      <c r="Y1" s="1" t="s">
        <v>656</v>
      </c>
      <c r="Z1" s="1" t="s">
        <v>548</v>
      </c>
      <c r="AA1" s="1" t="s">
        <v>657</v>
      </c>
    </row>
    <row r="2" hidden="1" spans="1:27">
      <c r="A2" t="s">
        <v>41</v>
      </c>
      <c r="B2">
        <v>1</v>
      </c>
      <c r="C2">
        <v>12</v>
      </c>
      <c r="D2" t="s">
        <v>658</v>
      </c>
      <c r="E2">
        <v>20.805</v>
      </c>
      <c r="F2">
        <v>17.5</v>
      </c>
      <c r="G2">
        <v>17.305</v>
      </c>
      <c r="H2">
        <v>0.195</v>
      </c>
      <c r="I2">
        <v>98.8857142857143</v>
      </c>
      <c r="J2">
        <v>1.11428571428571</v>
      </c>
      <c r="K2">
        <v>84.1143955779861</v>
      </c>
      <c r="L2">
        <v>83.1771208844028</v>
      </c>
      <c r="M2">
        <v>0</v>
      </c>
      <c r="N2">
        <v>0</v>
      </c>
      <c r="O2">
        <v>0.195</v>
      </c>
      <c r="P2" t="s">
        <v>659</v>
      </c>
      <c r="R2">
        <v>0</v>
      </c>
      <c r="S2">
        <v>216</v>
      </c>
      <c r="T2">
        <v>230</v>
      </c>
      <c r="U2">
        <v>221</v>
      </c>
      <c r="V2">
        <v>218</v>
      </c>
      <c r="W2">
        <v>1</v>
      </c>
      <c r="X2">
        <v>1</v>
      </c>
      <c r="Y2" t="s">
        <v>660</v>
      </c>
      <c r="Z2" t="s">
        <v>520</v>
      </c>
      <c r="AA2" t="s">
        <v>661</v>
      </c>
    </row>
    <row r="3" hidden="1" spans="1:27">
      <c r="A3" t="s">
        <v>41</v>
      </c>
      <c r="B3">
        <v>1</v>
      </c>
      <c r="C3">
        <v>13</v>
      </c>
      <c r="D3" t="s">
        <v>658</v>
      </c>
      <c r="E3">
        <v>18.671</v>
      </c>
      <c r="F3">
        <v>18.2</v>
      </c>
      <c r="G3">
        <v>17.834</v>
      </c>
      <c r="H3">
        <v>0.357</v>
      </c>
      <c r="I3">
        <v>97.989010989011</v>
      </c>
      <c r="J3">
        <v>1.96153846153846</v>
      </c>
      <c r="K3">
        <v>97.477371324514</v>
      </c>
      <c r="L3">
        <v>95.517112098977</v>
      </c>
      <c r="M3">
        <v>0.00900000000000034</v>
      </c>
      <c r="N3">
        <v>0.0494505494505513</v>
      </c>
      <c r="O3">
        <v>0.366</v>
      </c>
      <c r="P3" t="s">
        <v>659</v>
      </c>
      <c r="R3">
        <v>0</v>
      </c>
      <c r="S3">
        <v>232</v>
      </c>
      <c r="T3">
        <v>246</v>
      </c>
      <c r="U3">
        <v>237</v>
      </c>
      <c r="V3">
        <v>234</v>
      </c>
      <c r="W3">
        <v>1</v>
      </c>
      <c r="X3">
        <v>1</v>
      </c>
      <c r="Y3" t="s">
        <v>662</v>
      </c>
      <c r="Z3" t="s">
        <v>520</v>
      </c>
      <c r="AA3" t="s">
        <v>661</v>
      </c>
    </row>
    <row r="4" hidden="1" spans="1:27">
      <c r="A4" t="s">
        <v>41</v>
      </c>
      <c r="B4">
        <v>1</v>
      </c>
      <c r="C4">
        <v>10</v>
      </c>
      <c r="D4" t="s">
        <v>658</v>
      </c>
      <c r="E4">
        <v>10.347</v>
      </c>
      <c r="F4">
        <v>10</v>
      </c>
      <c r="G4">
        <v>9.754</v>
      </c>
      <c r="H4">
        <v>0.202</v>
      </c>
      <c r="I4">
        <v>97.54</v>
      </c>
      <c r="J4">
        <v>2.02</v>
      </c>
      <c r="K4">
        <v>96.6463709287716</v>
      </c>
      <c r="L4">
        <v>94.2688702039238</v>
      </c>
      <c r="M4">
        <v>0.0440000000000005</v>
      </c>
      <c r="N4">
        <v>0.440000000000005</v>
      </c>
      <c r="O4">
        <v>0.246</v>
      </c>
      <c r="P4" t="s">
        <v>659</v>
      </c>
      <c r="R4">
        <v>0</v>
      </c>
      <c r="S4">
        <v>184</v>
      </c>
      <c r="T4">
        <v>198</v>
      </c>
      <c r="U4">
        <v>189</v>
      </c>
      <c r="V4">
        <v>186</v>
      </c>
      <c r="W4">
        <v>1</v>
      </c>
      <c r="X4">
        <v>1</v>
      </c>
      <c r="Y4" t="s">
        <v>663</v>
      </c>
      <c r="Z4" t="s">
        <v>520</v>
      </c>
      <c r="AA4" t="s">
        <v>661</v>
      </c>
    </row>
    <row r="5" hidden="1" spans="1:27">
      <c r="A5" t="s">
        <v>41</v>
      </c>
      <c r="B5">
        <v>1</v>
      </c>
      <c r="C5">
        <v>9</v>
      </c>
      <c r="D5" t="s">
        <v>658</v>
      </c>
      <c r="E5">
        <v>6.934</v>
      </c>
      <c r="F5">
        <v>6.5</v>
      </c>
      <c r="G5">
        <v>6.328</v>
      </c>
      <c r="H5">
        <v>0.174</v>
      </c>
      <c r="I5">
        <v>97.3538461538462</v>
      </c>
      <c r="J5">
        <v>2.67692307692308</v>
      </c>
      <c r="K5">
        <v>93.7409864436112</v>
      </c>
      <c r="L5">
        <v>91.260455725411</v>
      </c>
      <c r="M5">
        <v>-0.00200000000000067</v>
      </c>
      <c r="N5">
        <v>0.030769230769241</v>
      </c>
      <c r="O5">
        <v>0.172</v>
      </c>
      <c r="P5" t="s">
        <v>659</v>
      </c>
      <c r="R5">
        <v>0</v>
      </c>
      <c r="S5">
        <v>168</v>
      </c>
      <c r="T5">
        <v>182</v>
      </c>
      <c r="U5">
        <v>173</v>
      </c>
      <c r="V5">
        <v>170</v>
      </c>
      <c r="W5">
        <v>1</v>
      </c>
      <c r="X5">
        <v>1</v>
      </c>
      <c r="Y5" t="s">
        <v>664</v>
      </c>
      <c r="Z5" t="s">
        <v>520</v>
      </c>
      <c r="AA5" t="s">
        <v>661</v>
      </c>
    </row>
    <row r="6" hidden="1" spans="1:27">
      <c r="A6" t="s">
        <v>41</v>
      </c>
      <c r="B6">
        <v>1</v>
      </c>
      <c r="C6">
        <v>8</v>
      </c>
      <c r="D6" t="s">
        <v>658</v>
      </c>
      <c r="E6">
        <v>5.339</v>
      </c>
      <c r="F6">
        <v>4</v>
      </c>
      <c r="G6">
        <v>3.888</v>
      </c>
      <c r="H6">
        <v>0.095</v>
      </c>
      <c r="I6">
        <v>97.2</v>
      </c>
      <c r="J6">
        <v>2.375</v>
      </c>
      <c r="K6">
        <v>74.9203970781045</v>
      </c>
      <c r="L6">
        <v>72.8226259599176</v>
      </c>
      <c r="M6">
        <v>0.0169999999999999</v>
      </c>
      <c r="N6">
        <v>0.424999999999998</v>
      </c>
      <c r="O6">
        <v>0.112</v>
      </c>
      <c r="P6" t="s">
        <v>659</v>
      </c>
      <c r="R6">
        <v>0</v>
      </c>
      <c r="S6">
        <v>152</v>
      </c>
      <c r="T6">
        <v>166</v>
      </c>
      <c r="U6">
        <v>157</v>
      </c>
      <c r="V6">
        <v>154</v>
      </c>
      <c r="W6">
        <v>1</v>
      </c>
      <c r="X6">
        <v>1</v>
      </c>
      <c r="Y6" t="s">
        <v>665</v>
      </c>
      <c r="Z6" t="s">
        <v>520</v>
      </c>
      <c r="AA6" t="s">
        <v>661</v>
      </c>
    </row>
    <row r="7" hidden="1" spans="1:27">
      <c r="A7" t="s">
        <v>144</v>
      </c>
      <c r="B7">
        <v>2</v>
      </c>
      <c r="C7">
        <v>16</v>
      </c>
      <c r="D7" t="s">
        <v>658</v>
      </c>
      <c r="E7">
        <v>9.87</v>
      </c>
      <c r="F7">
        <v>9</v>
      </c>
      <c r="G7">
        <v>8.656</v>
      </c>
      <c r="H7">
        <v>0.27</v>
      </c>
      <c r="I7">
        <v>96.1777777777778</v>
      </c>
      <c r="J7">
        <v>3</v>
      </c>
      <c r="K7">
        <v>91.1854103343465</v>
      </c>
      <c r="L7">
        <v>87.7001013171226</v>
      </c>
      <c r="M7">
        <v>0.0739999999999998</v>
      </c>
      <c r="N7">
        <v>0.822222222222221</v>
      </c>
      <c r="O7">
        <v>0.343999999999999</v>
      </c>
      <c r="P7" t="s">
        <v>659</v>
      </c>
      <c r="R7">
        <v>0</v>
      </c>
      <c r="S7">
        <v>280</v>
      </c>
      <c r="T7">
        <v>294</v>
      </c>
      <c r="U7">
        <v>285</v>
      </c>
      <c r="V7">
        <v>282</v>
      </c>
      <c r="W7">
        <v>1</v>
      </c>
      <c r="X7">
        <v>1</v>
      </c>
      <c r="Y7" t="s">
        <v>666</v>
      </c>
      <c r="Z7" t="s">
        <v>524</v>
      </c>
      <c r="AA7" t="s">
        <v>661</v>
      </c>
    </row>
    <row r="8" hidden="1" spans="1:27">
      <c r="A8" t="s">
        <v>144</v>
      </c>
      <c r="B8">
        <v>2</v>
      </c>
      <c r="C8">
        <v>23</v>
      </c>
      <c r="D8" t="s">
        <v>658</v>
      </c>
      <c r="E8">
        <v>9.123</v>
      </c>
      <c r="F8">
        <v>8.5</v>
      </c>
      <c r="G8">
        <v>8.108</v>
      </c>
      <c r="H8">
        <v>0.331</v>
      </c>
      <c r="I8">
        <v>95.3882352941176</v>
      </c>
      <c r="J8">
        <v>3.89411764705882</v>
      </c>
      <c r="K8">
        <v>93.1711059958347</v>
      </c>
      <c r="L8">
        <v>88.8742738134386</v>
      </c>
      <c r="M8">
        <v>0.0609999999999999</v>
      </c>
      <c r="N8">
        <v>0.717647058823529</v>
      </c>
      <c r="O8">
        <v>0.391999999999999</v>
      </c>
      <c r="P8" t="s">
        <v>659</v>
      </c>
      <c r="R8">
        <v>0</v>
      </c>
      <c r="S8">
        <v>392</v>
      </c>
      <c r="T8">
        <v>406</v>
      </c>
      <c r="U8">
        <v>397</v>
      </c>
      <c r="V8">
        <v>394</v>
      </c>
      <c r="W8">
        <v>1</v>
      </c>
      <c r="X8">
        <v>1</v>
      </c>
      <c r="Y8" t="s">
        <v>667</v>
      </c>
      <c r="Z8" t="s">
        <v>524</v>
      </c>
      <c r="AA8" t="s">
        <v>661</v>
      </c>
    </row>
    <row r="9" hidden="1" spans="1:27">
      <c r="A9" t="s">
        <v>144</v>
      </c>
      <c r="B9">
        <v>2</v>
      </c>
      <c r="C9">
        <v>19</v>
      </c>
      <c r="D9" t="s">
        <v>658</v>
      </c>
      <c r="E9">
        <v>8.697</v>
      </c>
      <c r="F9">
        <v>8</v>
      </c>
      <c r="G9">
        <v>7.629</v>
      </c>
      <c r="H9">
        <v>0.283</v>
      </c>
      <c r="I9">
        <v>95.3625</v>
      </c>
      <c r="J9">
        <v>3.5375</v>
      </c>
      <c r="K9">
        <v>91.9857422099575</v>
      </c>
      <c r="L9">
        <v>87.7199034149707</v>
      </c>
      <c r="M9">
        <v>0.0880000000000001</v>
      </c>
      <c r="N9">
        <v>1.1</v>
      </c>
      <c r="O9">
        <v>0.371</v>
      </c>
      <c r="P9" t="s">
        <v>659</v>
      </c>
      <c r="R9">
        <v>0</v>
      </c>
      <c r="S9">
        <v>328</v>
      </c>
      <c r="T9">
        <v>342</v>
      </c>
      <c r="U9">
        <v>333</v>
      </c>
      <c r="V9">
        <v>330</v>
      </c>
      <c r="W9">
        <v>1</v>
      </c>
      <c r="X9">
        <v>1</v>
      </c>
      <c r="Y9" t="s">
        <v>668</v>
      </c>
      <c r="Z9" t="s">
        <v>524</v>
      </c>
      <c r="AA9" t="s">
        <v>661</v>
      </c>
    </row>
    <row r="10" hidden="1" spans="1:27">
      <c r="A10" t="s">
        <v>144</v>
      </c>
      <c r="B10">
        <v>2</v>
      </c>
      <c r="C10">
        <v>22</v>
      </c>
      <c r="D10" t="s">
        <v>658</v>
      </c>
      <c r="E10">
        <v>9.41</v>
      </c>
      <c r="F10">
        <v>8.6</v>
      </c>
      <c r="G10">
        <v>8.168</v>
      </c>
      <c r="H10">
        <v>0.292</v>
      </c>
      <c r="I10">
        <v>94.9767441860465</v>
      </c>
      <c r="J10">
        <v>3.3953488372093</v>
      </c>
      <c r="K10">
        <v>91.3921360255048</v>
      </c>
      <c r="L10">
        <v>86.8012752391073</v>
      </c>
      <c r="M10">
        <v>0.140000000000001</v>
      </c>
      <c r="N10">
        <v>1.62790697674419</v>
      </c>
      <c r="O10">
        <v>0.432</v>
      </c>
      <c r="P10" t="s">
        <v>659</v>
      </c>
      <c r="R10">
        <v>0</v>
      </c>
      <c r="S10">
        <v>376</v>
      </c>
      <c r="T10">
        <v>390</v>
      </c>
      <c r="U10">
        <v>381</v>
      </c>
      <c r="V10">
        <v>378</v>
      </c>
      <c r="W10">
        <v>1</v>
      </c>
      <c r="X10">
        <v>1</v>
      </c>
      <c r="Y10" t="s">
        <v>669</v>
      </c>
      <c r="Z10" t="s">
        <v>524</v>
      </c>
      <c r="AA10" t="s">
        <v>661</v>
      </c>
    </row>
    <row r="11" hidden="1" spans="1:27">
      <c r="A11" t="s">
        <v>144</v>
      </c>
      <c r="B11">
        <v>2</v>
      </c>
      <c r="C11">
        <v>7</v>
      </c>
      <c r="D11" t="s">
        <v>670</v>
      </c>
      <c r="E11">
        <v>2.879</v>
      </c>
      <c r="F11">
        <v>2.6</v>
      </c>
      <c r="G11">
        <v>2.461</v>
      </c>
      <c r="H11">
        <v>0.131</v>
      </c>
      <c r="I11">
        <v>94.6538461538461</v>
      </c>
      <c r="J11">
        <v>5.03846153846154</v>
      </c>
      <c r="K11">
        <v>90.3091351163599</v>
      </c>
      <c r="L11">
        <v>85.4810698159083</v>
      </c>
      <c r="M11">
        <v>0.00800000000000045</v>
      </c>
      <c r="N11">
        <v>0.307692307692325</v>
      </c>
      <c r="O11">
        <v>0.139</v>
      </c>
      <c r="P11" t="s">
        <v>659</v>
      </c>
      <c r="R11">
        <v>0</v>
      </c>
      <c r="S11">
        <v>121</v>
      </c>
      <c r="T11">
        <v>135</v>
      </c>
      <c r="U11">
        <v>126</v>
      </c>
      <c r="V11">
        <v>123</v>
      </c>
      <c r="W11">
        <v>1</v>
      </c>
      <c r="X11">
        <v>1</v>
      </c>
      <c r="Y11" t="s">
        <v>671</v>
      </c>
      <c r="Z11" t="s">
        <v>524</v>
      </c>
      <c r="AA11" t="s">
        <v>661</v>
      </c>
    </row>
    <row r="12" hidden="1" spans="1:27">
      <c r="A12" t="s">
        <v>144</v>
      </c>
      <c r="B12">
        <v>2</v>
      </c>
      <c r="C12">
        <v>20</v>
      </c>
      <c r="D12" t="s">
        <v>658</v>
      </c>
      <c r="E12">
        <v>11.266</v>
      </c>
      <c r="F12">
        <v>8.3</v>
      </c>
      <c r="G12">
        <v>7.753</v>
      </c>
      <c r="H12">
        <v>0.457</v>
      </c>
      <c r="I12">
        <v>93.4096385542169</v>
      </c>
      <c r="J12">
        <v>5.50602409638554</v>
      </c>
      <c r="K12">
        <v>73.6729984022723</v>
      </c>
      <c r="L12">
        <v>68.8176815196165</v>
      </c>
      <c r="M12">
        <v>0.0899999999999999</v>
      </c>
      <c r="N12">
        <v>1.08433734939759</v>
      </c>
      <c r="O12">
        <v>0.547000000000001</v>
      </c>
      <c r="P12" t="s">
        <v>659</v>
      </c>
      <c r="R12">
        <v>0</v>
      </c>
      <c r="S12">
        <v>344</v>
      </c>
      <c r="T12">
        <v>358</v>
      </c>
      <c r="U12">
        <v>349</v>
      </c>
      <c r="V12">
        <v>346</v>
      </c>
      <c r="W12">
        <v>1</v>
      </c>
      <c r="X12">
        <v>1</v>
      </c>
      <c r="Y12" t="s">
        <v>672</v>
      </c>
      <c r="Z12" t="s">
        <v>524</v>
      </c>
      <c r="AA12" t="s">
        <v>661</v>
      </c>
    </row>
    <row r="13" hidden="1" spans="1:27">
      <c r="A13" t="s">
        <v>144</v>
      </c>
      <c r="B13">
        <v>2</v>
      </c>
      <c r="C13">
        <v>24</v>
      </c>
      <c r="D13" t="s">
        <v>658</v>
      </c>
      <c r="E13">
        <v>9.279</v>
      </c>
      <c r="F13">
        <v>8.5</v>
      </c>
      <c r="G13">
        <v>7.901</v>
      </c>
      <c r="H13">
        <v>0.58</v>
      </c>
      <c r="I13">
        <v>92.9529411764706</v>
      </c>
      <c r="J13">
        <v>6.82352941176471</v>
      </c>
      <c r="K13">
        <v>91.6046987821964</v>
      </c>
      <c r="L13">
        <v>85.149261773898</v>
      </c>
      <c r="M13">
        <v>0.0190000000000001</v>
      </c>
      <c r="N13">
        <v>0.223529411764707</v>
      </c>
      <c r="O13">
        <v>0.599</v>
      </c>
      <c r="P13" t="s">
        <v>659</v>
      </c>
      <c r="R13">
        <v>0</v>
      </c>
      <c r="S13">
        <v>408</v>
      </c>
      <c r="T13">
        <v>422</v>
      </c>
      <c r="U13">
        <v>413</v>
      </c>
      <c r="V13">
        <v>410</v>
      </c>
      <c r="W13">
        <v>1</v>
      </c>
      <c r="X13">
        <v>1</v>
      </c>
      <c r="Y13" t="s">
        <v>673</v>
      </c>
      <c r="Z13" t="s">
        <v>524</v>
      </c>
      <c r="AA13" t="s">
        <v>661</v>
      </c>
    </row>
    <row r="14" hidden="1" spans="1:27">
      <c r="A14" t="s">
        <v>144</v>
      </c>
      <c r="B14">
        <v>2</v>
      </c>
      <c r="C14">
        <v>18</v>
      </c>
      <c r="D14" t="s">
        <v>658</v>
      </c>
      <c r="E14">
        <v>9.154</v>
      </c>
      <c r="F14">
        <v>8.3</v>
      </c>
      <c r="G14">
        <v>7.664</v>
      </c>
      <c r="H14">
        <v>0.584</v>
      </c>
      <c r="I14">
        <v>92.3373493975903</v>
      </c>
      <c r="J14">
        <v>7.03614457831325</v>
      </c>
      <c r="K14">
        <v>90.6707450294953</v>
      </c>
      <c r="L14">
        <v>83.7229626392834</v>
      </c>
      <c r="M14">
        <v>0.0520000000000014</v>
      </c>
      <c r="N14">
        <v>0.626506024096402</v>
      </c>
      <c r="O14">
        <v>0.636000000000001</v>
      </c>
      <c r="P14" t="s">
        <v>659</v>
      </c>
      <c r="R14">
        <v>0</v>
      </c>
      <c r="S14">
        <v>312</v>
      </c>
      <c r="T14">
        <v>326</v>
      </c>
      <c r="U14">
        <v>317</v>
      </c>
      <c r="V14">
        <v>314</v>
      </c>
      <c r="W14">
        <v>1</v>
      </c>
      <c r="X14">
        <v>1</v>
      </c>
      <c r="Y14" t="s">
        <v>674</v>
      </c>
      <c r="Z14" t="s">
        <v>524</v>
      </c>
      <c r="AA14" t="s">
        <v>661</v>
      </c>
    </row>
    <row r="15" hidden="1" spans="1:27">
      <c r="A15" t="s">
        <v>144</v>
      </c>
      <c r="B15">
        <v>2</v>
      </c>
      <c r="C15">
        <v>21</v>
      </c>
      <c r="D15" t="s">
        <v>658</v>
      </c>
      <c r="E15">
        <v>9.659</v>
      </c>
      <c r="F15">
        <v>8.7</v>
      </c>
      <c r="G15">
        <v>8.017</v>
      </c>
      <c r="H15">
        <v>0.645</v>
      </c>
      <c r="I15">
        <v>92.1494252873563</v>
      </c>
      <c r="J15">
        <v>7.41379310344828</v>
      </c>
      <c r="K15">
        <v>90.0714359664561</v>
      </c>
      <c r="L15">
        <v>83.0003105911585</v>
      </c>
      <c r="M15">
        <v>0.0380000000000003</v>
      </c>
      <c r="N15">
        <v>0.436781609195405</v>
      </c>
      <c r="O15">
        <v>0.683</v>
      </c>
      <c r="P15" t="s">
        <v>659</v>
      </c>
      <c r="R15">
        <v>0</v>
      </c>
      <c r="S15">
        <v>360</v>
      </c>
      <c r="T15">
        <v>374</v>
      </c>
      <c r="U15">
        <v>365</v>
      </c>
      <c r="V15">
        <v>362</v>
      </c>
      <c r="W15">
        <v>1</v>
      </c>
      <c r="X15">
        <v>1</v>
      </c>
      <c r="Y15" t="s">
        <v>673</v>
      </c>
      <c r="Z15" t="s">
        <v>524</v>
      </c>
      <c r="AA15" t="s">
        <v>661</v>
      </c>
    </row>
    <row r="16" hidden="1" spans="1:27">
      <c r="A16" t="s">
        <v>99</v>
      </c>
      <c r="B16">
        <v>1</v>
      </c>
      <c r="C16">
        <v>13</v>
      </c>
      <c r="D16" t="s">
        <v>658</v>
      </c>
      <c r="E16">
        <v>27.316</v>
      </c>
      <c r="F16">
        <v>26.8</v>
      </c>
      <c r="G16">
        <v>24.439</v>
      </c>
      <c r="H16">
        <v>2.318</v>
      </c>
      <c r="I16">
        <v>91.1902985074627</v>
      </c>
      <c r="J16">
        <v>8.64925373134328</v>
      </c>
      <c r="K16">
        <v>98.1109972177478</v>
      </c>
      <c r="L16">
        <v>89.4677112315127</v>
      </c>
      <c r="M16">
        <v>0.0429999999999993</v>
      </c>
      <c r="N16">
        <v>0.160447761194027</v>
      </c>
      <c r="O16">
        <v>2.361</v>
      </c>
      <c r="P16" t="s">
        <v>659</v>
      </c>
      <c r="R16">
        <v>0</v>
      </c>
      <c r="S16">
        <v>241</v>
      </c>
      <c r="T16">
        <v>255</v>
      </c>
      <c r="U16">
        <v>246</v>
      </c>
      <c r="V16">
        <v>243</v>
      </c>
      <c r="W16">
        <v>1</v>
      </c>
      <c r="X16">
        <v>1</v>
      </c>
      <c r="Y16" t="s">
        <v>675</v>
      </c>
      <c r="Z16" t="s">
        <v>522</v>
      </c>
      <c r="AA16" t="s">
        <v>661</v>
      </c>
    </row>
    <row r="17" hidden="1" spans="1:27">
      <c r="A17" t="s">
        <v>144</v>
      </c>
      <c r="B17">
        <v>2</v>
      </c>
      <c r="C17">
        <v>25</v>
      </c>
      <c r="D17" t="s">
        <v>658</v>
      </c>
      <c r="E17">
        <v>9.259</v>
      </c>
      <c r="F17">
        <v>8.4</v>
      </c>
      <c r="G17">
        <v>7.589</v>
      </c>
      <c r="H17">
        <v>0.7</v>
      </c>
      <c r="I17">
        <v>90.3452380952381</v>
      </c>
      <c r="J17">
        <v>8.33333333333333</v>
      </c>
      <c r="K17">
        <v>90.7225402311265</v>
      </c>
      <c r="L17">
        <v>81.9634949778594</v>
      </c>
      <c r="M17">
        <v>0.111000000000001</v>
      </c>
      <c r="N17">
        <v>1.32142857142858</v>
      </c>
      <c r="O17">
        <v>0.811</v>
      </c>
      <c r="P17" t="s">
        <v>659</v>
      </c>
      <c r="R17">
        <v>0</v>
      </c>
      <c r="S17">
        <v>424</v>
      </c>
      <c r="T17">
        <v>438</v>
      </c>
      <c r="U17">
        <v>429</v>
      </c>
      <c r="V17">
        <v>426</v>
      </c>
      <c r="W17">
        <v>1</v>
      </c>
      <c r="X17">
        <v>1</v>
      </c>
      <c r="Y17" t="s">
        <v>669</v>
      </c>
      <c r="Z17" t="s">
        <v>524</v>
      </c>
      <c r="AA17" t="s">
        <v>661</v>
      </c>
    </row>
    <row r="18" hidden="1" spans="1:27">
      <c r="A18" t="s">
        <v>144</v>
      </c>
      <c r="B18">
        <v>2</v>
      </c>
      <c r="C18">
        <v>17</v>
      </c>
      <c r="D18" t="s">
        <v>658</v>
      </c>
      <c r="E18">
        <v>9.01</v>
      </c>
      <c r="F18">
        <v>8.3</v>
      </c>
      <c r="G18">
        <v>7.293</v>
      </c>
      <c r="H18">
        <v>0.966</v>
      </c>
      <c r="I18">
        <v>87.8674698795181</v>
      </c>
      <c r="J18">
        <v>11.6385542168675</v>
      </c>
      <c r="K18">
        <v>92.1198668146504</v>
      </c>
      <c r="L18">
        <v>80.9433962264151</v>
      </c>
      <c r="M18">
        <v>0.0410000000000004</v>
      </c>
      <c r="N18">
        <v>0.493975903614462</v>
      </c>
      <c r="O18">
        <v>1.007</v>
      </c>
      <c r="P18" t="s">
        <v>659</v>
      </c>
      <c r="R18">
        <v>0</v>
      </c>
      <c r="S18">
        <v>296</v>
      </c>
      <c r="T18">
        <v>310</v>
      </c>
      <c r="U18">
        <v>301</v>
      </c>
      <c r="V18">
        <v>298</v>
      </c>
      <c r="W18">
        <v>1</v>
      </c>
      <c r="X18">
        <v>1</v>
      </c>
      <c r="Y18" t="s">
        <v>676</v>
      </c>
      <c r="Z18" t="s">
        <v>524</v>
      </c>
      <c r="AA18" t="s">
        <v>661</v>
      </c>
    </row>
    <row r="19" hidden="1" spans="1:27">
      <c r="A19" t="s">
        <v>26</v>
      </c>
      <c r="B19">
        <v>2</v>
      </c>
      <c r="C19">
        <v>3</v>
      </c>
      <c r="D19" t="s">
        <v>670</v>
      </c>
      <c r="E19">
        <v>7.29</v>
      </c>
      <c r="F19">
        <v>6.9</v>
      </c>
      <c r="G19">
        <v>6.043</v>
      </c>
      <c r="H19">
        <v>0.852</v>
      </c>
      <c r="I19">
        <v>87.5797101449275</v>
      </c>
      <c r="J19">
        <v>12.3478260869565</v>
      </c>
      <c r="K19">
        <v>94.6502057613169</v>
      </c>
      <c r="L19">
        <v>82.8943758573388</v>
      </c>
      <c r="M19">
        <v>0.00499999999999989</v>
      </c>
      <c r="N19">
        <v>0.0724637681159405</v>
      </c>
      <c r="O19">
        <v>0.857</v>
      </c>
      <c r="P19" t="s">
        <v>659</v>
      </c>
      <c r="R19">
        <v>0</v>
      </c>
      <c r="S19">
        <v>74</v>
      </c>
      <c r="T19">
        <v>88</v>
      </c>
      <c r="U19">
        <v>79</v>
      </c>
      <c r="V19">
        <v>76</v>
      </c>
      <c r="W19">
        <v>1</v>
      </c>
      <c r="X19">
        <v>1</v>
      </c>
      <c r="Y19" t="s">
        <v>677</v>
      </c>
      <c r="Z19" t="s">
        <v>519</v>
      </c>
      <c r="AA19" t="s">
        <v>661</v>
      </c>
    </row>
    <row r="20" hidden="1" spans="1:27">
      <c r="A20" t="s">
        <v>393</v>
      </c>
      <c r="B20">
        <v>3</v>
      </c>
      <c r="C20">
        <v>28</v>
      </c>
      <c r="D20" t="s">
        <v>658</v>
      </c>
      <c r="E20">
        <v>1.169</v>
      </c>
      <c r="F20">
        <v>0.7</v>
      </c>
      <c r="G20">
        <v>0.601</v>
      </c>
      <c r="H20">
        <v>0.119</v>
      </c>
      <c r="I20">
        <v>85.8571428571429</v>
      </c>
      <c r="J20">
        <v>17</v>
      </c>
      <c r="K20">
        <v>59.8802395209581</v>
      </c>
      <c r="L20">
        <v>51.4114627887083</v>
      </c>
      <c r="M20">
        <v>-0.02</v>
      </c>
      <c r="N20">
        <v>2.85714285714286</v>
      </c>
      <c r="O20">
        <v>0.099</v>
      </c>
      <c r="P20" t="s">
        <v>659</v>
      </c>
      <c r="R20">
        <v>0</v>
      </c>
      <c r="S20">
        <v>472</v>
      </c>
      <c r="T20">
        <v>486</v>
      </c>
      <c r="U20">
        <v>477</v>
      </c>
      <c r="V20">
        <v>474</v>
      </c>
      <c r="W20">
        <v>1</v>
      </c>
      <c r="X20">
        <v>1</v>
      </c>
      <c r="Y20" t="s">
        <v>678</v>
      </c>
      <c r="Z20" t="s">
        <v>534</v>
      </c>
      <c r="AA20" t="s">
        <v>661</v>
      </c>
    </row>
    <row r="21" spans="1:27">
      <c r="A21" t="s">
        <v>1</v>
      </c>
      <c r="B21">
        <v>2</v>
      </c>
      <c r="C21">
        <v>4</v>
      </c>
      <c r="D21" t="s">
        <v>670</v>
      </c>
      <c r="E21">
        <v>2.842</v>
      </c>
      <c r="F21">
        <v>2.5</v>
      </c>
      <c r="G21">
        <v>1.899</v>
      </c>
      <c r="H21">
        <v>0.62</v>
      </c>
      <c r="I21">
        <v>75.96</v>
      </c>
      <c r="J21">
        <v>24.8</v>
      </c>
      <c r="K21">
        <v>87.9662209711471</v>
      </c>
      <c r="L21">
        <v>66.8191414496833</v>
      </c>
      <c r="M21">
        <v>-0.0190000000000001</v>
      </c>
      <c r="N21">
        <v>0.760000000000005</v>
      </c>
      <c r="O21">
        <v>0.601</v>
      </c>
      <c r="P21" t="s">
        <v>659</v>
      </c>
      <c r="R21">
        <v>0</v>
      </c>
      <c r="S21">
        <v>88</v>
      </c>
      <c r="T21">
        <v>102</v>
      </c>
      <c r="U21">
        <v>93</v>
      </c>
      <c r="V21">
        <v>90</v>
      </c>
      <c r="W21">
        <v>1</v>
      </c>
      <c r="X21">
        <v>1</v>
      </c>
      <c r="Y21" t="s">
        <v>679</v>
      </c>
      <c r="Z21" t="s">
        <v>518</v>
      </c>
      <c r="AA21" t="s">
        <v>661</v>
      </c>
    </row>
    <row r="22" hidden="1" spans="1:27">
      <c r="A22" t="s">
        <v>26</v>
      </c>
      <c r="B22">
        <v>2</v>
      </c>
      <c r="C22">
        <v>2</v>
      </c>
      <c r="D22" t="s">
        <v>670</v>
      </c>
      <c r="E22">
        <v>3.095</v>
      </c>
      <c r="F22">
        <v>2.7</v>
      </c>
      <c r="G22">
        <v>1.95</v>
      </c>
      <c r="H22">
        <v>0.745</v>
      </c>
      <c r="I22">
        <v>72.2222222222222</v>
      </c>
      <c r="J22">
        <v>27.5925925925926</v>
      </c>
      <c r="K22">
        <v>87.2374798061389</v>
      </c>
      <c r="L22">
        <v>63.0048465266559</v>
      </c>
      <c r="M22">
        <v>0.00500000000000034</v>
      </c>
      <c r="N22">
        <v>0.185185185185198</v>
      </c>
      <c r="O22">
        <v>0.75</v>
      </c>
      <c r="P22" t="s">
        <v>659</v>
      </c>
      <c r="R22">
        <v>0</v>
      </c>
      <c r="S22">
        <v>58</v>
      </c>
      <c r="T22">
        <v>72</v>
      </c>
      <c r="U22">
        <v>63</v>
      </c>
      <c r="V22">
        <v>60</v>
      </c>
      <c r="W22">
        <v>1</v>
      </c>
      <c r="X22">
        <v>1</v>
      </c>
      <c r="Y22" t="s">
        <v>680</v>
      </c>
      <c r="Z22" t="s">
        <v>519</v>
      </c>
      <c r="AA22" t="s">
        <v>661</v>
      </c>
    </row>
    <row r="23" hidden="1" spans="1:27">
      <c r="A23" t="s">
        <v>259</v>
      </c>
      <c r="B23">
        <v>1</v>
      </c>
      <c r="C23">
        <v>30</v>
      </c>
      <c r="D23" t="s">
        <v>658</v>
      </c>
      <c r="E23">
        <v>7.356</v>
      </c>
      <c r="F23">
        <v>1</v>
      </c>
      <c r="G23">
        <v>0.683</v>
      </c>
      <c r="H23">
        <v>0.278</v>
      </c>
      <c r="I23">
        <v>68.3</v>
      </c>
      <c r="J23">
        <v>27.8</v>
      </c>
      <c r="K23">
        <v>13.5943447525829</v>
      </c>
      <c r="L23">
        <v>9.28493746601414</v>
      </c>
      <c r="M23">
        <v>0.0389999999999999</v>
      </c>
      <c r="N23">
        <v>3.89999999999999</v>
      </c>
      <c r="O23">
        <v>0.317</v>
      </c>
      <c r="P23" t="s">
        <v>659</v>
      </c>
      <c r="R23">
        <v>0</v>
      </c>
      <c r="S23">
        <v>523</v>
      </c>
      <c r="T23">
        <v>537</v>
      </c>
      <c r="U23">
        <v>528</v>
      </c>
      <c r="V23">
        <v>525</v>
      </c>
      <c r="W23">
        <v>1</v>
      </c>
      <c r="X23">
        <v>1</v>
      </c>
      <c r="Y23" t="s">
        <v>681</v>
      </c>
      <c r="Z23" t="s">
        <v>528</v>
      </c>
      <c r="AA23" t="s">
        <v>661</v>
      </c>
    </row>
    <row r="24" hidden="1" spans="1:27">
      <c r="A24" t="s">
        <v>41</v>
      </c>
      <c r="B24">
        <v>1</v>
      </c>
      <c r="C24">
        <v>7</v>
      </c>
      <c r="D24" t="s">
        <v>658</v>
      </c>
      <c r="E24">
        <v>10.085</v>
      </c>
      <c r="F24">
        <v>9.7</v>
      </c>
      <c r="G24">
        <v>6.304</v>
      </c>
      <c r="H24">
        <v>3.347</v>
      </c>
      <c r="I24">
        <v>64.9896907216495</v>
      </c>
      <c r="J24">
        <v>34.5051546391753</v>
      </c>
      <c r="K24">
        <v>96.1824491819534</v>
      </c>
      <c r="L24">
        <v>62.5086762518592</v>
      </c>
      <c r="M24">
        <v>0.0489999999999995</v>
      </c>
      <c r="N24">
        <v>0.505154639175252</v>
      </c>
      <c r="O24">
        <v>3.396</v>
      </c>
      <c r="P24" t="s">
        <v>659</v>
      </c>
      <c r="R24">
        <v>0</v>
      </c>
      <c r="S24">
        <v>136</v>
      </c>
      <c r="T24">
        <v>150</v>
      </c>
      <c r="U24">
        <v>141</v>
      </c>
      <c r="V24">
        <v>138</v>
      </c>
      <c r="W24">
        <v>1</v>
      </c>
      <c r="X24">
        <v>1</v>
      </c>
      <c r="Y24" t="s">
        <v>682</v>
      </c>
      <c r="Z24" t="s">
        <v>520</v>
      </c>
      <c r="AA24" t="s">
        <v>661</v>
      </c>
    </row>
    <row r="25" hidden="1" spans="1:27">
      <c r="A25" t="s">
        <v>303</v>
      </c>
      <c r="B25">
        <v>2</v>
      </c>
      <c r="C25">
        <v>8</v>
      </c>
      <c r="D25" t="s">
        <v>658</v>
      </c>
      <c r="E25">
        <v>3.977</v>
      </c>
      <c r="F25">
        <v>3.5</v>
      </c>
      <c r="G25">
        <v>2.261</v>
      </c>
      <c r="H25">
        <v>1.245</v>
      </c>
      <c r="I25">
        <v>64.6</v>
      </c>
      <c r="J25">
        <v>35.5714285714286</v>
      </c>
      <c r="K25">
        <v>88.0060346995222</v>
      </c>
      <c r="L25">
        <v>56.8518984158914</v>
      </c>
      <c r="M25">
        <v>-0.00600000000000023</v>
      </c>
      <c r="N25">
        <v>0.171428571428578</v>
      </c>
      <c r="O25">
        <v>1.239</v>
      </c>
      <c r="P25" t="s">
        <v>659</v>
      </c>
      <c r="R25">
        <v>0</v>
      </c>
      <c r="S25">
        <v>156</v>
      </c>
      <c r="T25">
        <v>170</v>
      </c>
      <c r="U25">
        <v>161</v>
      </c>
      <c r="V25">
        <v>158</v>
      </c>
      <c r="W25">
        <v>1</v>
      </c>
      <c r="X25">
        <v>1</v>
      </c>
      <c r="Y25" t="s">
        <v>683</v>
      </c>
      <c r="Z25" t="s">
        <v>530</v>
      </c>
      <c r="AA25" t="s">
        <v>661</v>
      </c>
    </row>
    <row r="26" hidden="1" spans="1:27">
      <c r="A26" t="s">
        <v>303</v>
      </c>
      <c r="B26">
        <v>2</v>
      </c>
      <c r="C26">
        <v>7</v>
      </c>
      <c r="D26" t="s">
        <v>658</v>
      </c>
      <c r="E26">
        <v>4.624</v>
      </c>
      <c r="F26">
        <v>4.1</v>
      </c>
      <c r="G26">
        <v>2.612</v>
      </c>
      <c r="H26">
        <v>1.46</v>
      </c>
      <c r="I26">
        <v>63.7073170731707</v>
      </c>
      <c r="J26">
        <v>35.609756097561</v>
      </c>
      <c r="K26">
        <v>88.6678200692042</v>
      </c>
      <c r="L26">
        <v>56.4878892733564</v>
      </c>
      <c r="M26">
        <v>0.0279999999999996</v>
      </c>
      <c r="N26">
        <v>0.682926829268283</v>
      </c>
      <c r="O26">
        <v>1.488</v>
      </c>
      <c r="P26" t="s">
        <v>659</v>
      </c>
      <c r="R26">
        <v>0</v>
      </c>
      <c r="S26">
        <v>139</v>
      </c>
      <c r="T26">
        <v>153</v>
      </c>
      <c r="U26">
        <v>144</v>
      </c>
      <c r="V26">
        <v>141</v>
      </c>
      <c r="W26">
        <v>1</v>
      </c>
      <c r="X26">
        <v>1</v>
      </c>
      <c r="Y26" t="s">
        <v>684</v>
      </c>
      <c r="Z26" t="s">
        <v>530</v>
      </c>
      <c r="AA26" t="s">
        <v>661</v>
      </c>
    </row>
    <row r="27" hidden="1" spans="1:27">
      <c r="A27" t="s">
        <v>99</v>
      </c>
      <c r="B27">
        <v>1</v>
      </c>
      <c r="C27">
        <v>24</v>
      </c>
      <c r="D27" t="s">
        <v>658</v>
      </c>
      <c r="E27">
        <v>72.888</v>
      </c>
      <c r="F27">
        <v>65.6</v>
      </c>
      <c r="G27">
        <v>39.356</v>
      </c>
      <c r="H27">
        <v>26.154</v>
      </c>
      <c r="I27">
        <v>59.9939024390244</v>
      </c>
      <c r="J27">
        <v>39.8689024390244</v>
      </c>
      <c r="K27">
        <v>90.0010975743606</v>
      </c>
      <c r="L27">
        <v>53.9951706728131</v>
      </c>
      <c r="M27">
        <v>0.0899999999999892</v>
      </c>
      <c r="N27">
        <v>0.137195121951203</v>
      </c>
      <c r="O27">
        <v>26.244</v>
      </c>
      <c r="P27" t="s">
        <v>659</v>
      </c>
      <c r="R27">
        <v>0</v>
      </c>
      <c r="S27">
        <v>417</v>
      </c>
      <c r="T27">
        <v>431</v>
      </c>
      <c r="U27">
        <v>422</v>
      </c>
      <c r="V27">
        <v>419</v>
      </c>
      <c r="W27">
        <v>1</v>
      </c>
      <c r="X27">
        <v>1</v>
      </c>
      <c r="Y27" t="s">
        <v>685</v>
      </c>
      <c r="Z27" t="s">
        <v>522</v>
      </c>
      <c r="AA27" t="s">
        <v>661</v>
      </c>
    </row>
    <row r="28" hidden="1" spans="1:27">
      <c r="A28" t="s">
        <v>303</v>
      </c>
      <c r="B28">
        <v>2</v>
      </c>
      <c r="C28">
        <v>15</v>
      </c>
      <c r="D28" t="s">
        <v>658</v>
      </c>
      <c r="E28">
        <v>1.463</v>
      </c>
      <c r="F28">
        <v>0.9</v>
      </c>
      <c r="G28">
        <v>0.535</v>
      </c>
      <c r="H28">
        <v>0.283</v>
      </c>
      <c r="I28">
        <v>59.4444444444444</v>
      </c>
      <c r="J28">
        <v>31.4444444444444</v>
      </c>
      <c r="K28">
        <v>61.5174299384826</v>
      </c>
      <c r="L28">
        <v>36.5686944634313</v>
      </c>
      <c r="M28">
        <v>0.082</v>
      </c>
      <c r="N28">
        <v>9.11111111111111</v>
      </c>
      <c r="O28">
        <v>0.365</v>
      </c>
      <c r="P28" t="s">
        <v>659</v>
      </c>
      <c r="R28">
        <v>0</v>
      </c>
      <c r="S28">
        <v>271</v>
      </c>
      <c r="T28">
        <v>285</v>
      </c>
      <c r="U28">
        <v>276</v>
      </c>
      <c r="V28">
        <v>273</v>
      </c>
      <c r="W28">
        <v>1</v>
      </c>
      <c r="X28">
        <v>1</v>
      </c>
      <c r="Y28" t="s">
        <v>686</v>
      </c>
      <c r="Z28" t="s">
        <v>530</v>
      </c>
      <c r="AA28" t="s">
        <v>661</v>
      </c>
    </row>
    <row r="29" hidden="1" spans="1:27">
      <c r="A29" t="s">
        <v>457</v>
      </c>
      <c r="B29">
        <v>3</v>
      </c>
      <c r="C29">
        <v>4</v>
      </c>
      <c r="D29" t="s">
        <v>658</v>
      </c>
      <c r="E29">
        <v>1.139</v>
      </c>
      <c r="F29">
        <v>0.8</v>
      </c>
      <c r="G29">
        <v>0.475</v>
      </c>
      <c r="H29">
        <v>0.308</v>
      </c>
      <c r="I29">
        <v>59.375</v>
      </c>
      <c r="J29">
        <v>38.5</v>
      </c>
      <c r="K29">
        <v>70.2370500438982</v>
      </c>
      <c r="L29">
        <v>41.7032484635645</v>
      </c>
      <c r="M29">
        <v>0.0170000000000001</v>
      </c>
      <c r="N29">
        <v>2.12500000000002</v>
      </c>
      <c r="O29">
        <v>0.325</v>
      </c>
      <c r="P29" t="s">
        <v>659</v>
      </c>
      <c r="R29">
        <v>0</v>
      </c>
      <c r="S29">
        <v>89</v>
      </c>
      <c r="T29">
        <v>103</v>
      </c>
      <c r="U29">
        <v>94</v>
      </c>
      <c r="V29">
        <v>91</v>
      </c>
      <c r="W29">
        <v>1</v>
      </c>
      <c r="X29">
        <v>1</v>
      </c>
      <c r="Y29" t="s">
        <v>687</v>
      </c>
      <c r="Z29" t="s">
        <v>537</v>
      </c>
      <c r="AA29" t="s">
        <v>661</v>
      </c>
    </row>
    <row r="30" hidden="1" spans="1:27">
      <c r="A30" t="s">
        <v>99</v>
      </c>
      <c r="B30">
        <v>1</v>
      </c>
      <c r="C30">
        <v>23</v>
      </c>
      <c r="D30" t="s">
        <v>658</v>
      </c>
      <c r="E30">
        <v>77.113</v>
      </c>
      <c r="F30">
        <v>75.9</v>
      </c>
      <c r="G30">
        <v>41.21</v>
      </c>
      <c r="H30">
        <v>34.612</v>
      </c>
      <c r="I30">
        <v>54.2951251646904</v>
      </c>
      <c r="J30">
        <v>45.6021080368906</v>
      </c>
      <c r="K30">
        <v>98.4269837770545</v>
      </c>
      <c r="L30">
        <v>53.4410540375812</v>
      </c>
      <c r="M30">
        <v>0.078000000000003</v>
      </c>
      <c r="N30">
        <v>0.102766798418976</v>
      </c>
      <c r="O30">
        <v>34.69</v>
      </c>
      <c r="P30" t="s">
        <v>659</v>
      </c>
      <c r="R30">
        <v>0</v>
      </c>
      <c r="S30">
        <v>401</v>
      </c>
      <c r="T30">
        <v>415</v>
      </c>
      <c r="U30">
        <v>406</v>
      </c>
      <c r="V30">
        <v>403</v>
      </c>
      <c r="W30">
        <v>1</v>
      </c>
      <c r="X30">
        <v>1</v>
      </c>
      <c r="Y30" t="s">
        <v>688</v>
      </c>
      <c r="Z30" t="s">
        <v>522</v>
      </c>
      <c r="AA30" t="s">
        <v>661</v>
      </c>
    </row>
    <row r="31" hidden="1" spans="1:27">
      <c r="A31" t="s">
        <v>99</v>
      </c>
      <c r="B31">
        <v>1</v>
      </c>
      <c r="C31">
        <v>14</v>
      </c>
      <c r="D31" t="s">
        <v>658</v>
      </c>
      <c r="E31">
        <v>29.438</v>
      </c>
      <c r="F31">
        <v>28.5</v>
      </c>
      <c r="G31">
        <v>14.982</v>
      </c>
      <c r="H31">
        <v>13.513</v>
      </c>
      <c r="I31">
        <v>52.5684210526316</v>
      </c>
      <c r="J31">
        <v>47.4140350877193</v>
      </c>
      <c r="K31">
        <v>96.8136422311298</v>
      </c>
      <c r="L31">
        <v>50.8934030844487</v>
      </c>
      <c r="M31">
        <v>0.00500000000000256</v>
      </c>
      <c r="N31">
        <v>0.0175438596491318</v>
      </c>
      <c r="O31">
        <v>13.518</v>
      </c>
      <c r="P31" t="s">
        <v>659</v>
      </c>
      <c r="R31">
        <v>0</v>
      </c>
      <c r="S31">
        <v>257</v>
      </c>
      <c r="T31">
        <v>271</v>
      </c>
      <c r="U31">
        <v>262</v>
      </c>
      <c r="V31">
        <v>259</v>
      </c>
      <c r="W31">
        <v>1</v>
      </c>
      <c r="X31">
        <v>1</v>
      </c>
      <c r="Y31" t="s">
        <v>689</v>
      </c>
      <c r="Z31" t="s">
        <v>522</v>
      </c>
      <c r="AA31" t="s">
        <v>661</v>
      </c>
    </row>
    <row r="32" hidden="1" spans="1:27">
      <c r="A32" t="s">
        <v>144</v>
      </c>
      <c r="B32">
        <v>2</v>
      </c>
      <c r="C32">
        <v>5</v>
      </c>
      <c r="D32" t="s">
        <v>690</v>
      </c>
      <c r="E32">
        <v>3.08</v>
      </c>
      <c r="F32">
        <v>2.7</v>
      </c>
      <c r="G32">
        <v>1.362</v>
      </c>
      <c r="H32">
        <v>1.291</v>
      </c>
      <c r="I32">
        <v>50.4444444444444</v>
      </c>
      <c r="J32">
        <v>47.8148148148148</v>
      </c>
      <c r="K32">
        <v>87.6623376623377</v>
      </c>
      <c r="L32">
        <v>44.2207792207792</v>
      </c>
      <c r="M32">
        <v>0.0470000000000002</v>
      </c>
      <c r="N32">
        <v>1.74074074074075</v>
      </c>
      <c r="O32">
        <v>1.338</v>
      </c>
      <c r="P32" t="s">
        <v>659</v>
      </c>
      <c r="R32">
        <v>0</v>
      </c>
      <c r="S32">
        <v>97</v>
      </c>
      <c r="T32">
        <v>111</v>
      </c>
      <c r="U32">
        <v>102</v>
      </c>
      <c r="V32">
        <v>99</v>
      </c>
      <c r="W32">
        <v>1</v>
      </c>
      <c r="X32">
        <v>1</v>
      </c>
      <c r="Y32" t="s">
        <v>691</v>
      </c>
      <c r="Z32" t="s">
        <v>524</v>
      </c>
      <c r="AA32" t="s">
        <v>661</v>
      </c>
    </row>
    <row r="33" spans="1:27">
      <c r="A33" t="s">
        <v>1</v>
      </c>
      <c r="B33">
        <v>2</v>
      </c>
      <c r="C33">
        <v>3</v>
      </c>
      <c r="D33" t="s">
        <v>658</v>
      </c>
      <c r="E33">
        <v>1.577</v>
      </c>
      <c r="F33">
        <v>1.3</v>
      </c>
      <c r="G33">
        <v>0.64</v>
      </c>
      <c r="H33">
        <v>0.589</v>
      </c>
      <c r="I33">
        <v>49.2307692307692</v>
      </c>
      <c r="J33">
        <v>45.3076923076923</v>
      </c>
      <c r="K33">
        <v>82.435003170577</v>
      </c>
      <c r="L33">
        <v>40.5833861762841</v>
      </c>
      <c r="M33">
        <v>0.071</v>
      </c>
      <c r="N33">
        <v>5.46153846153846</v>
      </c>
      <c r="O33">
        <v>0.66</v>
      </c>
      <c r="P33" t="s">
        <v>659</v>
      </c>
      <c r="R33">
        <v>0</v>
      </c>
      <c r="S33">
        <v>72</v>
      </c>
      <c r="T33">
        <v>86</v>
      </c>
      <c r="U33">
        <v>77</v>
      </c>
      <c r="V33">
        <v>74</v>
      </c>
      <c r="W33">
        <v>1</v>
      </c>
      <c r="X33">
        <v>1</v>
      </c>
      <c r="Y33" t="s">
        <v>687</v>
      </c>
      <c r="Z33" t="s">
        <v>518</v>
      </c>
      <c r="AA33" t="s">
        <v>661</v>
      </c>
    </row>
    <row r="34" hidden="1" spans="1:27">
      <c r="A34" t="s">
        <v>214</v>
      </c>
      <c r="B34">
        <v>3</v>
      </c>
      <c r="C34">
        <v>33</v>
      </c>
      <c r="D34" t="s">
        <v>658</v>
      </c>
      <c r="E34">
        <v>5.114</v>
      </c>
      <c r="F34">
        <v>4.4</v>
      </c>
      <c r="G34">
        <v>2.127</v>
      </c>
      <c r="H34">
        <v>2.186</v>
      </c>
      <c r="I34">
        <v>48.3409090909091</v>
      </c>
      <c r="J34">
        <v>49.6818181818182</v>
      </c>
      <c r="K34">
        <v>86.0383261634728</v>
      </c>
      <c r="L34">
        <v>41.5917090340242</v>
      </c>
      <c r="M34">
        <v>0.0870000000000006</v>
      </c>
      <c r="N34">
        <v>1.97727272727274</v>
      </c>
      <c r="O34">
        <v>2.273</v>
      </c>
      <c r="P34" t="s">
        <v>659</v>
      </c>
      <c r="R34">
        <v>0</v>
      </c>
      <c r="S34">
        <v>563</v>
      </c>
      <c r="T34">
        <v>577</v>
      </c>
      <c r="U34">
        <v>568</v>
      </c>
      <c r="V34">
        <v>565</v>
      </c>
      <c r="W34">
        <v>1</v>
      </c>
      <c r="X34">
        <v>1</v>
      </c>
      <c r="Y34" t="s">
        <v>692</v>
      </c>
      <c r="Z34" t="s">
        <v>526</v>
      </c>
      <c r="AA34" t="s">
        <v>661</v>
      </c>
    </row>
    <row r="35" hidden="1" spans="1:27">
      <c r="A35" t="s">
        <v>99</v>
      </c>
      <c r="B35">
        <v>1</v>
      </c>
      <c r="C35">
        <v>25</v>
      </c>
      <c r="D35" t="s">
        <v>658</v>
      </c>
      <c r="E35">
        <v>48.208</v>
      </c>
      <c r="F35">
        <v>47</v>
      </c>
      <c r="G35">
        <v>22.708</v>
      </c>
      <c r="H35">
        <v>24.225</v>
      </c>
      <c r="I35">
        <v>48.3148936170213</v>
      </c>
      <c r="J35">
        <v>51.5425531914894</v>
      </c>
      <c r="K35">
        <v>97.49419183538</v>
      </c>
      <c r="L35">
        <v>47.1042150680385</v>
      </c>
      <c r="M35">
        <v>0.0670000000000002</v>
      </c>
      <c r="N35">
        <v>0.142553191489362</v>
      </c>
      <c r="O35">
        <v>24.292</v>
      </c>
      <c r="P35" t="s">
        <v>659</v>
      </c>
      <c r="R35">
        <v>0</v>
      </c>
      <c r="S35">
        <v>433</v>
      </c>
      <c r="T35">
        <v>447</v>
      </c>
      <c r="U35">
        <v>438</v>
      </c>
      <c r="V35">
        <v>435</v>
      </c>
      <c r="W35">
        <v>1</v>
      </c>
      <c r="X35">
        <v>1</v>
      </c>
      <c r="Y35" t="s">
        <v>693</v>
      </c>
      <c r="Z35" t="s">
        <v>522</v>
      </c>
      <c r="AA35" t="s">
        <v>661</v>
      </c>
    </row>
    <row r="36" hidden="1" spans="1:27">
      <c r="A36" t="s">
        <v>41</v>
      </c>
      <c r="B36">
        <v>1</v>
      </c>
      <c r="C36">
        <v>6</v>
      </c>
      <c r="D36" t="s">
        <v>658</v>
      </c>
      <c r="E36">
        <v>10.639</v>
      </c>
      <c r="F36">
        <v>10.1</v>
      </c>
      <c r="G36">
        <v>4.743</v>
      </c>
      <c r="H36">
        <v>5.273</v>
      </c>
      <c r="I36">
        <v>46.960396039604</v>
      </c>
      <c r="J36">
        <v>52.2079207920792</v>
      </c>
      <c r="K36">
        <v>94.9337343735314</v>
      </c>
      <c r="L36">
        <v>44.581257636996</v>
      </c>
      <c r="M36">
        <v>0.0839999999999996</v>
      </c>
      <c r="N36">
        <v>0.831683168316828</v>
      </c>
      <c r="O36">
        <v>5.357</v>
      </c>
      <c r="P36" t="s">
        <v>659</v>
      </c>
      <c r="R36">
        <v>0</v>
      </c>
      <c r="S36">
        <v>120</v>
      </c>
      <c r="T36">
        <v>134</v>
      </c>
      <c r="U36">
        <v>125</v>
      </c>
      <c r="V36">
        <v>122</v>
      </c>
      <c r="W36">
        <v>1</v>
      </c>
      <c r="X36">
        <v>1</v>
      </c>
      <c r="Y36" t="s">
        <v>694</v>
      </c>
      <c r="Z36" t="s">
        <v>520</v>
      </c>
      <c r="AA36" t="s">
        <v>661</v>
      </c>
    </row>
    <row r="37" hidden="1" spans="1:27">
      <c r="A37" t="s">
        <v>214</v>
      </c>
      <c r="B37">
        <v>3</v>
      </c>
      <c r="C37">
        <v>31</v>
      </c>
      <c r="D37" t="s">
        <v>658</v>
      </c>
      <c r="E37">
        <v>3.328</v>
      </c>
      <c r="F37">
        <v>2.7</v>
      </c>
      <c r="G37">
        <v>1.085</v>
      </c>
      <c r="H37">
        <v>1.623</v>
      </c>
      <c r="I37">
        <v>40.1851851851852</v>
      </c>
      <c r="J37">
        <v>60.1111111111111</v>
      </c>
      <c r="K37">
        <v>81.1298076923077</v>
      </c>
      <c r="L37">
        <v>32.6021634615385</v>
      </c>
      <c r="M37">
        <v>-0.00800000000000001</v>
      </c>
      <c r="N37">
        <v>0.296296296296297</v>
      </c>
      <c r="O37">
        <v>1.615</v>
      </c>
      <c r="P37" t="s">
        <v>659</v>
      </c>
      <c r="R37">
        <v>0</v>
      </c>
      <c r="S37">
        <v>531</v>
      </c>
      <c r="T37">
        <v>545</v>
      </c>
      <c r="U37">
        <v>536</v>
      </c>
      <c r="V37">
        <v>533</v>
      </c>
      <c r="W37">
        <v>1</v>
      </c>
      <c r="X37">
        <v>1</v>
      </c>
      <c r="Y37" t="s">
        <v>695</v>
      </c>
      <c r="Z37" t="s">
        <v>526</v>
      </c>
      <c r="AA37" t="s">
        <v>661</v>
      </c>
    </row>
    <row r="38" hidden="1" spans="1:27">
      <c r="A38" t="s">
        <v>457</v>
      </c>
      <c r="B38">
        <v>3</v>
      </c>
      <c r="C38">
        <v>5</v>
      </c>
      <c r="D38" t="s">
        <v>670</v>
      </c>
      <c r="E38">
        <v>2.943</v>
      </c>
      <c r="F38">
        <v>2</v>
      </c>
      <c r="G38">
        <v>0.669</v>
      </c>
      <c r="H38">
        <v>1.299</v>
      </c>
      <c r="I38">
        <v>33.45</v>
      </c>
      <c r="J38">
        <v>64.95</v>
      </c>
      <c r="K38">
        <v>67.9578661230037</v>
      </c>
      <c r="L38">
        <v>22.7319062181448</v>
      </c>
      <c r="M38">
        <v>0.032</v>
      </c>
      <c r="N38">
        <v>1.6</v>
      </c>
      <c r="O38">
        <v>1.331</v>
      </c>
      <c r="P38" t="s">
        <v>659</v>
      </c>
      <c r="R38">
        <v>0</v>
      </c>
      <c r="S38">
        <v>105</v>
      </c>
      <c r="T38">
        <v>119</v>
      </c>
      <c r="U38">
        <v>110</v>
      </c>
      <c r="V38">
        <v>107</v>
      </c>
      <c r="W38">
        <v>1</v>
      </c>
      <c r="X38">
        <v>1</v>
      </c>
      <c r="Y38" t="s">
        <v>696</v>
      </c>
      <c r="Z38" t="s">
        <v>537</v>
      </c>
      <c r="AA38" t="s">
        <v>661</v>
      </c>
    </row>
    <row r="39" hidden="1" spans="1:27">
      <c r="A39" t="s">
        <v>303</v>
      </c>
      <c r="B39">
        <v>2</v>
      </c>
      <c r="C39">
        <v>6</v>
      </c>
      <c r="D39" t="s">
        <v>658</v>
      </c>
      <c r="E39">
        <v>2.826</v>
      </c>
      <c r="F39">
        <v>2.5</v>
      </c>
      <c r="G39">
        <v>0.812</v>
      </c>
      <c r="H39">
        <v>1.658</v>
      </c>
      <c r="I39">
        <v>32.48</v>
      </c>
      <c r="J39">
        <v>66.32</v>
      </c>
      <c r="K39">
        <v>88.4642604387827</v>
      </c>
      <c r="L39">
        <v>28.7331917905166</v>
      </c>
      <c r="M39">
        <v>0.0300000000000002</v>
      </c>
      <c r="N39">
        <v>1.20000000000001</v>
      </c>
      <c r="O39">
        <v>1.688</v>
      </c>
      <c r="P39" t="s">
        <v>659</v>
      </c>
      <c r="R39">
        <v>0</v>
      </c>
      <c r="S39">
        <v>121</v>
      </c>
      <c r="T39">
        <v>135</v>
      </c>
      <c r="U39">
        <v>126</v>
      </c>
      <c r="V39">
        <v>123</v>
      </c>
      <c r="W39">
        <v>1</v>
      </c>
      <c r="X39">
        <v>1</v>
      </c>
      <c r="Y39" t="s">
        <v>697</v>
      </c>
      <c r="Z39" t="s">
        <v>530</v>
      </c>
      <c r="AA39" t="s">
        <v>661</v>
      </c>
    </row>
    <row r="40" hidden="1" spans="1:27">
      <c r="A40" t="s">
        <v>214</v>
      </c>
      <c r="B40">
        <v>3</v>
      </c>
      <c r="C40">
        <v>28</v>
      </c>
      <c r="D40" t="s">
        <v>658</v>
      </c>
      <c r="E40">
        <v>2.817</v>
      </c>
      <c r="F40">
        <v>2.1</v>
      </c>
      <c r="G40">
        <v>0.654</v>
      </c>
      <c r="H40">
        <v>1.432</v>
      </c>
      <c r="I40">
        <v>31.1428571428571</v>
      </c>
      <c r="J40">
        <v>68.1904761904762</v>
      </c>
      <c r="K40">
        <v>74.5473908413205</v>
      </c>
      <c r="L40">
        <v>23.2161874334398</v>
      </c>
      <c r="M40">
        <v>0.0140000000000002</v>
      </c>
      <c r="N40">
        <v>0.666666666666678</v>
      </c>
      <c r="O40">
        <v>1.446</v>
      </c>
      <c r="P40" t="s">
        <v>659</v>
      </c>
      <c r="R40">
        <v>0</v>
      </c>
      <c r="S40">
        <v>483</v>
      </c>
      <c r="T40">
        <v>497</v>
      </c>
      <c r="U40">
        <v>488</v>
      </c>
      <c r="V40">
        <v>485</v>
      </c>
      <c r="W40">
        <v>1</v>
      </c>
      <c r="X40">
        <v>1</v>
      </c>
      <c r="Y40" t="s">
        <v>698</v>
      </c>
      <c r="Z40" t="s">
        <v>526</v>
      </c>
      <c r="AA40" t="s">
        <v>661</v>
      </c>
    </row>
    <row r="41" hidden="1" spans="1:27">
      <c r="A41" t="s">
        <v>334</v>
      </c>
      <c r="B41">
        <v>3</v>
      </c>
      <c r="C41">
        <v>3</v>
      </c>
      <c r="D41" t="s">
        <v>658</v>
      </c>
      <c r="E41">
        <v>1.256</v>
      </c>
      <c r="F41">
        <v>1</v>
      </c>
      <c r="G41">
        <v>0.305</v>
      </c>
      <c r="H41">
        <v>0.685</v>
      </c>
      <c r="I41">
        <v>30.5</v>
      </c>
      <c r="J41">
        <v>68.5</v>
      </c>
      <c r="K41">
        <v>79.6178343949045</v>
      </c>
      <c r="L41">
        <v>24.2834394904459</v>
      </c>
      <c r="M41">
        <v>0.01</v>
      </c>
      <c r="N41">
        <v>1</v>
      </c>
      <c r="O41">
        <v>0.695</v>
      </c>
      <c r="P41" t="s">
        <v>659</v>
      </c>
      <c r="R41">
        <v>0</v>
      </c>
      <c r="S41">
        <v>73</v>
      </c>
      <c r="T41">
        <v>87</v>
      </c>
      <c r="U41">
        <v>78</v>
      </c>
      <c r="V41">
        <v>75</v>
      </c>
      <c r="W41">
        <v>1</v>
      </c>
      <c r="X41">
        <v>1</v>
      </c>
      <c r="Y41" t="s">
        <v>687</v>
      </c>
      <c r="Z41" t="s">
        <v>532</v>
      </c>
      <c r="AA41" t="s">
        <v>661</v>
      </c>
    </row>
    <row r="42" hidden="1" spans="1:27">
      <c r="A42" t="s">
        <v>253</v>
      </c>
      <c r="B42">
        <v>1</v>
      </c>
      <c r="C42">
        <v>7</v>
      </c>
      <c r="D42" t="s">
        <v>699</v>
      </c>
      <c r="E42">
        <v>4.703</v>
      </c>
      <c r="F42">
        <v>3.7</v>
      </c>
      <c r="G42">
        <v>1.102</v>
      </c>
      <c r="H42">
        <v>2.421</v>
      </c>
      <c r="I42">
        <v>29.7837837837838</v>
      </c>
      <c r="J42">
        <v>65.4324324324324</v>
      </c>
      <c r="K42">
        <v>78.6731873272379</v>
      </c>
      <c r="L42">
        <v>23.4318520093557</v>
      </c>
      <c r="M42">
        <v>0.177</v>
      </c>
      <c r="N42">
        <v>4.7837837837838</v>
      </c>
      <c r="O42">
        <v>2.598</v>
      </c>
      <c r="P42" t="s">
        <v>659</v>
      </c>
      <c r="R42">
        <v>0</v>
      </c>
      <c r="S42">
        <v>144</v>
      </c>
      <c r="T42">
        <v>158</v>
      </c>
      <c r="U42">
        <v>149</v>
      </c>
      <c r="V42">
        <v>146</v>
      </c>
      <c r="W42">
        <v>1</v>
      </c>
      <c r="X42">
        <v>1</v>
      </c>
      <c r="Y42" t="s">
        <v>700</v>
      </c>
      <c r="Z42" t="s">
        <v>527</v>
      </c>
      <c r="AA42" t="s">
        <v>661</v>
      </c>
    </row>
    <row r="43" hidden="1" spans="1:27">
      <c r="A43" t="s">
        <v>303</v>
      </c>
      <c r="B43">
        <v>2</v>
      </c>
      <c r="C43">
        <v>5</v>
      </c>
      <c r="D43" t="s">
        <v>670</v>
      </c>
      <c r="E43">
        <v>1.966</v>
      </c>
      <c r="F43">
        <v>1.1</v>
      </c>
      <c r="G43">
        <v>0.318</v>
      </c>
      <c r="H43">
        <v>0.784</v>
      </c>
      <c r="I43">
        <v>28.9090909090909</v>
      </c>
      <c r="J43">
        <v>71.2727272727273</v>
      </c>
      <c r="K43">
        <v>55.9511698880977</v>
      </c>
      <c r="L43">
        <v>16.1749745676501</v>
      </c>
      <c r="M43">
        <v>-0.002</v>
      </c>
      <c r="N43">
        <v>0.181818181818182</v>
      </c>
      <c r="O43">
        <v>0.782</v>
      </c>
      <c r="P43" t="s">
        <v>659</v>
      </c>
      <c r="R43">
        <v>0</v>
      </c>
      <c r="S43">
        <v>105</v>
      </c>
      <c r="T43">
        <v>119</v>
      </c>
      <c r="U43">
        <v>110</v>
      </c>
      <c r="V43">
        <v>107</v>
      </c>
      <c r="W43">
        <v>1</v>
      </c>
      <c r="X43">
        <v>1</v>
      </c>
      <c r="Y43" t="s">
        <v>701</v>
      </c>
      <c r="Z43" t="s">
        <v>530</v>
      </c>
      <c r="AA43" t="s">
        <v>661</v>
      </c>
    </row>
    <row r="44" hidden="1" spans="1:27">
      <c r="A44" t="s">
        <v>99</v>
      </c>
      <c r="B44">
        <v>1</v>
      </c>
      <c r="C44">
        <v>16</v>
      </c>
      <c r="D44" t="s">
        <v>658</v>
      </c>
      <c r="E44">
        <v>32.927</v>
      </c>
      <c r="F44">
        <v>32.1</v>
      </c>
      <c r="G44">
        <v>8.883</v>
      </c>
      <c r="H44">
        <v>23.13</v>
      </c>
      <c r="I44">
        <v>27.6728971962617</v>
      </c>
      <c r="J44">
        <v>72.0560747663551</v>
      </c>
      <c r="K44">
        <v>97.4883833935676</v>
      </c>
      <c r="L44">
        <v>26.9778601147994</v>
      </c>
      <c r="M44">
        <v>0.0870000000000033</v>
      </c>
      <c r="N44">
        <v>0.271028037383188</v>
      </c>
      <c r="O44">
        <v>23.217</v>
      </c>
      <c r="P44" t="s">
        <v>659</v>
      </c>
      <c r="R44">
        <v>0</v>
      </c>
      <c r="S44">
        <v>289</v>
      </c>
      <c r="T44">
        <v>303</v>
      </c>
      <c r="U44">
        <v>294</v>
      </c>
      <c r="V44">
        <v>291</v>
      </c>
      <c r="W44">
        <v>1</v>
      </c>
      <c r="X44">
        <v>1</v>
      </c>
      <c r="Y44" t="s">
        <v>702</v>
      </c>
      <c r="Z44" t="s">
        <v>522</v>
      </c>
      <c r="AA44" t="s">
        <v>661</v>
      </c>
    </row>
    <row r="45" hidden="1" spans="1:27">
      <c r="A45" t="s">
        <v>144</v>
      </c>
      <c r="B45">
        <v>2</v>
      </c>
      <c r="C45">
        <v>4</v>
      </c>
      <c r="D45" t="s">
        <v>670</v>
      </c>
      <c r="E45">
        <v>2.76</v>
      </c>
      <c r="F45">
        <v>2.3</v>
      </c>
      <c r="G45">
        <v>0.611</v>
      </c>
      <c r="H45">
        <v>1.592</v>
      </c>
      <c r="I45">
        <v>26.5652173913044</v>
      </c>
      <c r="J45">
        <v>69.2173913043478</v>
      </c>
      <c r="K45">
        <v>83.3333333333333</v>
      </c>
      <c r="L45">
        <v>22.1376811594203</v>
      </c>
      <c r="M45">
        <v>0.0969999999999995</v>
      </c>
      <c r="N45">
        <v>4.21739130434781</v>
      </c>
      <c r="O45">
        <v>1.689</v>
      </c>
      <c r="P45" t="s">
        <v>659</v>
      </c>
      <c r="R45">
        <v>0</v>
      </c>
      <c r="S45">
        <v>81</v>
      </c>
      <c r="T45">
        <v>95</v>
      </c>
      <c r="U45">
        <v>86</v>
      </c>
      <c r="V45">
        <v>83</v>
      </c>
      <c r="W45">
        <v>1</v>
      </c>
      <c r="X45">
        <v>1</v>
      </c>
      <c r="Y45" t="s">
        <v>703</v>
      </c>
      <c r="Z45" t="s">
        <v>524</v>
      </c>
      <c r="AA45" t="s">
        <v>661</v>
      </c>
    </row>
    <row r="46" hidden="1" spans="1:27">
      <c r="A46" t="s">
        <v>214</v>
      </c>
      <c r="B46">
        <v>3</v>
      </c>
      <c r="C46">
        <v>14</v>
      </c>
      <c r="D46" t="s">
        <v>658</v>
      </c>
      <c r="E46">
        <v>6.094</v>
      </c>
      <c r="F46">
        <v>5.4</v>
      </c>
      <c r="G46">
        <v>1.175</v>
      </c>
      <c r="H46">
        <v>4.154</v>
      </c>
      <c r="I46">
        <v>21.7592592592593</v>
      </c>
      <c r="J46">
        <v>76.9259259259259</v>
      </c>
      <c r="K46">
        <v>88.6117492615688</v>
      </c>
      <c r="L46">
        <v>19.2812602559895</v>
      </c>
      <c r="M46">
        <v>0.0710000000000006</v>
      </c>
      <c r="N46">
        <v>1.31481481481483</v>
      </c>
      <c r="O46">
        <v>4.225</v>
      </c>
      <c r="P46" t="s">
        <v>659</v>
      </c>
      <c r="R46">
        <v>0</v>
      </c>
      <c r="S46">
        <v>259</v>
      </c>
      <c r="T46">
        <v>273</v>
      </c>
      <c r="U46">
        <v>264</v>
      </c>
      <c r="V46">
        <v>261</v>
      </c>
      <c r="W46">
        <v>1</v>
      </c>
      <c r="X46">
        <v>1</v>
      </c>
      <c r="Y46" t="s">
        <v>704</v>
      </c>
      <c r="Z46" t="s">
        <v>526</v>
      </c>
      <c r="AA46" t="s">
        <v>661</v>
      </c>
    </row>
    <row r="47" hidden="1" spans="1:27">
      <c r="A47" t="s">
        <v>393</v>
      </c>
      <c r="B47">
        <v>3</v>
      </c>
      <c r="C47">
        <v>13</v>
      </c>
      <c r="D47" t="s">
        <v>658</v>
      </c>
      <c r="E47">
        <v>9.017</v>
      </c>
      <c r="F47">
        <v>6.7</v>
      </c>
      <c r="G47">
        <v>1.317</v>
      </c>
      <c r="H47">
        <v>5.38</v>
      </c>
      <c r="I47">
        <v>19.6567164179104</v>
      </c>
      <c r="J47">
        <v>80.2985074626866</v>
      </c>
      <c r="K47">
        <v>74.3040922701564</v>
      </c>
      <c r="L47">
        <v>14.6057447044472</v>
      </c>
      <c r="M47">
        <v>0.00300000000000011</v>
      </c>
      <c r="N47">
        <v>0.0447761194029868</v>
      </c>
      <c r="O47">
        <v>5.383</v>
      </c>
      <c r="P47" t="s">
        <v>659</v>
      </c>
      <c r="R47">
        <v>0</v>
      </c>
      <c r="S47">
        <v>232</v>
      </c>
      <c r="T47">
        <v>246</v>
      </c>
      <c r="U47">
        <v>237</v>
      </c>
      <c r="V47">
        <v>234</v>
      </c>
      <c r="W47">
        <v>1</v>
      </c>
      <c r="X47">
        <v>1</v>
      </c>
      <c r="Y47" t="s">
        <v>705</v>
      </c>
      <c r="Z47" t="s">
        <v>534</v>
      </c>
      <c r="AA47" t="s">
        <v>661</v>
      </c>
    </row>
    <row r="48" hidden="1" spans="1:27">
      <c r="A48" t="s">
        <v>259</v>
      </c>
      <c r="B48">
        <v>1</v>
      </c>
      <c r="C48">
        <v>14</v>
      </c>
      <c r="D48" t="s">
        <v>658</v>
      </c>
      <c r="E48">
        <v>3.942</v>
      </c>
      <c r="F48">
        <v>3.1</v>
      </c>
      <c r="G48">
        <v>0.597</v>
      </c>
      <c r="H48">
        <v>2.431</v>
      </c>
      <c r="I48">
        <v>19.258064516129</v>
      </c>
      <c r="J48">
        <v>78.4193548387097</v>
      </c>
      <c r="K48">
        <v>78.6402841197362</v>
      </c>
      <c r="L48">
        <v>15.144596651446</v>
      </c>
      <c r="M48">
        <v>0.0720000000000001</v>
      </c>
      <c r="N48">
        <v>2.32258064516129</v>
      </c>
      <c r="O48">
        <v>2.503</v>
      </c>
      <c r="P48" t="s">
        <v>659</v>
      </c>
      <c r="R48">
        <v>0</v>
      </c>
      <c r="S48">
        <v>255</v>
      </c>
      <c r="T48">
        <v>269</v>
      </c>
      <c r="U48">
        <v>260</v>
      </c>
      <c r="V48">
        <v>257</v>
      </c>
      <c r="W48">
        <v>1</v>
      </c>
      <c r="X48">
        <v>1</v>
      </c>
      <c r="Y48" t="s">
        <v>706</v>
      </c>
      <c r="Z48" t="s">
        <v>528</v>
      </c>
      <c r="AA48" t="s">
        <v>661</v>
      </c>
    </row>
    <row r="49" hidden="1" spans="1:27">
      <c r="A49" t="s">
        <v>457</v>
      </c>
      <c r="B49">
        <v>3</v>
      </c>
      <c r="C49">
        <v>9</v>
      </c>
      <c r="D49" t="s">
        <v>658</v>
      </c>
      <c r="E49">
        <v>10.174</v>
      </c>
      <c r="F49">
        <v>9.4</v>
      </c>
      <c r="G49">
        <v>1.796</v>
      </c>
      <c r="H49">
        <v>7.556</v>
      </c>
      <c r="I49">
        <v>19.1063829787234</v>
      </c>
      <c r="J49">
        <v>80.3829787234042</v>
      </c>
      <c r="K49">
        <v>92.3923727147631</v>
      </c>
      <c r="L49">
        <v>17.6528405740122</v>
      </c>
      <c r="M49">
        <v>0.048</v>
      </c>
      <c r="N49">
        <v>0.510638297872341</v>
      </c>
      <c r="O49">
        <v>7.604</v>
      </c>
      <c r="P49" t="s">
        <v>659</v>
      </c>
      <c r="R49">
        <v>0</v>
      </c>
      <c r="S49">
        <v>169</v>
      </c>
      <c r="T49">
        <v>183</v>
      </c>
      <c r="U49">
        <v>174</v>
      </c>
      <c r="V49">
        <v>171</v>
      </c>
      <c r="W49">
        <v>1</v>
      </c>
      <c r="X49">
        <v>1</v>
      </c>
      <c r="Y49" t="s">
        <v>707</v>
      </c>
      <c r="Z49" t="s">
        <v>537</v>
      </c>
      <c r="AA49" t="s">
        <v>661</v>
      </c>
    </row>
    <row r="50" hidden="1" spans="1:27">
      <c r="A50" t="s">
        <v>134</v>
      </c>
      <c r="B50">
        <v>3</v>
      </c>
      <c r="C50">
        <v>11</v>
      </c>
      <c r="D50" t="s">
        <v>658</v>
      </c>
      <c r="E50">
        <v>13.378</v>
      </c>
      <c r="F50">
        <v>6.8</v>
      </c>
      <c r="G50">
        <v>1.277</v>
      </c>
      <c r="H50">
        <v>5.485</v>
      </c>
      <c r="I50">
        <v>18.7794117647059</v>
      </c>
      <c r="J50">
        <v>80.6617647058823</v>
      </c>
      <c r="K50">
        <v>50.8297204365376</v>
      </c>
      <c r="L50">
        <v>9.54552249962625</v>
      </c>
      <c r="M50">
        <v>0.0379999999999994</v>
      </c>
      <c r="N50">
        <v>0.558823529411756</v>
      </c>
      <c r="O50">
        <v>5.523</v>
      </c>
      <c r="P50" t="s">
        <v>659</v>
      </c>
      <c r="R50">
        <v>0</v>
      </c>
      <c r="S50">
        <v>207</v>
      </c>
      <c r="T50">
        <v>221</v>
      </c>
      <c r="U50">
        <v>212</v>
      </c>
      <c r="V50">
        <v>209</v>
      </c>
      <c r="W50">
        <v>1</v>
      </c>
      <c r="X50">
        <v>1</v>
      </c>
      <c r="Y50" t="s">
        <v>708</v>
      </c>
      <c r="Z50" t="s">
        <v>523</v>
      </c>
      <c r="AA50" t="s">
        <v>661</v>
      </c>
    </row>
    <row r="51" hidden="1" spans="1:27">
      <c r="A51" t="s">
        <v>393</v>
      </c>
      <c r="B51">
        <v>3</v>
      </c>
      <c r="C51">
        <v>26</v>
      </c>
      <c r="D51" t="s">
        <v>658</v>
      </c>
      <c r="E51">
        <v>3.878</v>
      </c>
      <c r="F51">
        <v>3.4</v>
      </c>
      <c r="G51">
        <v>0.638</v>
      </c>
      <c r="H51">
        <v>2.693</v>
      </c>
      <c r="I51">
        <v>18.7647058823529</v>
      </c>
      <c r="J51">
        <v>79.2058823529412</v>
      </c>
      <c r="K51">
        <v>87.6740587931924</v>
      </c>
      <c r="L51">
        <v>16.4517792676637</v>
      </c>
      <c r="M51">
        <v>0.0689999999999999</v>
      </c>
      <c r="N51">
        <v>2.02941176470588</v>
      </c>
      <c r="O51">
        <v>2.762</v>
      </c>
      <c r="P51" t="s">
        <v>659</v>
      </c>
      <c r="R51">
        <v>0</v>
      </c>
      <c r="S51">
        <v>440</v>
      </c>
      <c r="T51">
        <v>454</v>
      </c>
      <c r="U51">
        <v>445</v>
      </c>
      <c r="V51">
        <v>442</v>
      </c>
      <c r="W51">
        <v>1</v>
      </c>
      <c r="X51">
        <v>1</v>
      </c>
      <c r="Y51" t="s">
        <v>709</v>
      </c>
      <c r="Z51" t="s">
        <v>534</v>
      </c>
      <c r="AA51" t="s">
        <v>661</v>
      </c>
    </row>
    <row r="52" hidden="1" spans="1:27">
      <c r="A52" t="s">
        <v>41</v>
      </c>
      <c r="B52">
        <v>1</v>
      </c>
      <c r="C52">
        <v>5</v>
      </c>
      <c r="D52" t="s">
        <v>658</v>
      </c>
      <c r="E52">
        <v>6.118</v>
      </c>
      <c r="F52">
        <v>5.6</v>
      </c>
      <c r="G52">
        <v>1.025</v>
      </c>
      <c r="H52">
        <v>4.568</v>
      </c>
      <c r="I52">
        <v>18.3035714285714</v>
      </c>
      <c r="J52">
        <v>81.5714285714286</v>
      </c>
      <c r="K52">
        <v>91.533180778032</v>
      </c>
      <c r="L52">
        <v>16.7538411245505</v>
      </c>
      <c r="M52">
        <v>0.00699999999999967</v>
      </c>
      <c r="N52">
        <v>0.124999999999994</v>
      </c>
      <c r="O52">
        <v>4.575</v>
      </c>
      <c r="P52" t="s">
        <v>659</v>
      </c>
      <c r="R52">
        <v>0</v>
      </c>
      <c r="S52">
        <v>104</v>
      </c>
      <c r="T52">
        <v>118</v>
      </c>
      <c r="U52">
        <v>109</v>
      </c>
      <c r="V52">
        <v>106</v>
      </c>
      <c r="W52">
        <v>1</v>
      </c>
      <c r="X52">
        <v>1</v>
      </c>
      <c r="Y52" t="s">
        <v>710</v>
      </c>
      <c r="Z52" t="s">
        <v>520</v>
      </c>
      <c r="AA52" t="s">
        <v>661</v>
      </c>
    </row>
    <row r="53" hidden="1" spans="1:27">
      <c r="A53" t="s">
        <v>303</v>
      </c>
      <c r="B53">
        <v>2</v>
      </c>
      <c r="C53">
        <v>4</v>
      </c>
      <c r="D53" t="s">
        <v>670</v>
      </c>
      <c r="E53">
        <v>1.897</v>
      </c>
      <c r="F53">
        <v>1.5</v>
      </c>
      <c r="G53">
        <v>0.263</v>
      </c>
      <c r="H53">
        <v>1.258</v>
      </c>
      <c r="I53">
        <v>17.5333333333333</v>
      </c>
      <c r="J53">
        <v>83.8666666666667</v>
      </c>
      <c r="K53">
        <v>79.0722192936215</v>
      </c>
      <c r="L53">
        <v>13.863995782815</v>
      </c>
      <c r="M53">
        <v>-0.0209999999999999</v>
      </c>
      <c r="N53">
        <v>1.39999999999999</v>
      </c>
      <c r="O53">
        <v>1.237</v>
      </c>
      <c r="P53" t="s">
        <v>659</v>
      </c>
      <c r="R53">
        <v>0</v>
      </c>
      <c r="S53">
        <v>89</v>
      </c>
      <c r="T53">
        <v>103</v>
      </c>
      <c r="U53">
        <v>94</v>
      </c>
      <c r="V53">
        <v>91</v>
      </c>
      <c r="W53">
        <v>1</v>
      </c>
      <c r="X53">
        <v>1</v>
      </c>
      <c r="Y53" t="s">
        <v>679</v>
      </c>
      <c r="Z53" t="s">
        <v>530</v>
      </c>
      <c r="AA53" t="s">
        <v>661</v>
      </c>
    </row>
    <row r="54" hidden="1" spans="1:27">
      <c r="A54" t="s">
        <v>144</v>
      </c>
      <c r="B54">
        <v>2</v>
      </c>
      <c r="C54">
        <v>15</v>
      </c>
      <c r="D54" t="s">
        <v>658</v>
      </c>
      <c r="E54">
        <v>2.104</v>
      </c>
      <c r="F54">
        <v>0.2</v>
      </c>
      <c r="G54">
        <v>0.035</v>
      </c>
      <c r="H54">
        <v>0.162</v>
      </c>
      <c r="I54">
        <v>17.5</v>
      </c>
      <c r="J54">
        <v>81</v>
      </c>
      <c r="K54">
        <v>9.50570342205323</v>
      </c>
      <c r="L54">
        <v>1.66349809885932</v>
      </c>
      <c r="M54">
        <v>0.003</v>
      </c>
      <c r="N54">
        <v>1.5</v>
      </c>
      <c r="O54">
        <v>0.165</v>
      </c>
      <c r="P54" t="s">
        <v>659</v>
      </c>
      <c r="R54">
        <v>0</v>
      </c>
      <c r="S54">
        <v>264</v>
      </c>
      <c r="T54">
        <v>278</v>
      </c>
      <c r="U54">
        <v>269</v>
      </c>
      <c r="V54">
        <v>266</v>
      </c>
      <c r="W54">
        <v>1</v>
      </c>
      <c r="X54">
        <v>1</v>
      </c>
      <c r="Y54" t="s">
        <v>711</v>
      </c>
      <c r="Z54" t="s">
        <v>524</v>
      </c>
      <c r="AA54" t="s">
        <v>661</v>
      </c>
    </row>
    <row r="55" hidden="1" spans="1:27">
      <c r="A55" t="s">
        <v>214</v>
      </c>
      <c r="B55">
        <v>3</v>
      </c>
      <c r="C55">
        <v>17</v>
      </c>
      <c r="D55" t="s">
        <v>658</v>
      </c>
      <c r="E55">
        <v>5.268</v>
      </c>
      <c r="F55">
        <v>4.7</v>
      </c>
      <c r="G55">
        <v>0.82</v>
      </c>
      <c r="H55">
        <v>3.837</v>
      </c>
      <c r="I55">
        <v>17.4468085106383</v>
      </c>
      <c r="J55">
        <v>81.6382978723404</v>
      </c>
      <c r="K55">
        <v>89.2179195140471</v>
      </c>
      <c r="L55">
        <v>15.5656795747912</v>
      </c>
      <c r="M55">
        <v>0.0430000000000001</v>
      </c>
      <c r="N55">
        <v>0.91489361702128</v>
      </c>
      <c r="O55">
        <v>3.88</v>
      </c>
      <c r="P55" t="s">
        <v>659</v>
      </c>
      <c r="R55">
        <v>0</v>
      </c>
      <c r="S55">
        <v>307</v>
      </c>
      <c r="T55">
        <v>321</v>
      </c>
      <c r="U55">
        <v>312</v>
      </c>
      <c r="V55">
        <v>309</v>
      </c>
      <c r="W55">
        <v>1</v>
      </c>
      <c r="X55">
        <v>1</v>
      </c>
      <c r="Y55" t="s">
        <v>712</v>
      </c>
      <c r="Z55" t="s">
        <v>526</v>
      </c>
      <c r="AA55" t="s">
        <v>661</v>
      </c>
    </row>
    <row r="56" hidden="1" spans="1:27">
      <c r="A56" t="s">
        <v>303</v>
      </c>
      <c r="B56">
        <v>2</v>
      </c>
      <c r="C56">
        <v>18</v>
      </c>
      <c r="D56" t="s">
        <v>658</v>
      </c>
      <c r="E56">
        <v>1.176</v>
      </c>
      <c r="F56">
        <v>0.8</v>
      </c>
      <c r="G56">
        <v>0.134</v>
      </c>
      <c r="H56">
        <v>0.623</v>
      </c>
      <c r="I56">
        <v>16.75</v>
      </c>
      <c r="J56">
        <v>77.875</v>
      </c>
      <c r="K56">
        <v>68.0272108843537</v>
      </c>
      <c r="L56">
        <v>11.3945578231293</v>
      </c>
      <c r="M56">
        <v>0.043</v>
      </c>
      <c r="N56">
        <v>5.375</v>
      </c>
      <c r="O56">
        <v>0.666</v>
      </c>
      <c r="P56" t="s">
        <v>659</v>
      </c>
      <c r="R56">
        <v>0</v>
      </c>
      <c r="S56">
        <v>322</v>
      </c>
      <c r="T56">
        <v>336</v>
      </c>
      <c r="U56">
        <v>327</v>
      </c>
      <c r="V56">
        <v>324</v>
      </c>
      <c r="W56">
        <v>1</v>
      </c>
      <c r="X56">
        <v>1</v>
      </c>
      <c r="Y56" t="s">
        <v>713</v>
      </c>
      <c r="Z56" t="s">
        <v>530</v>
      </c>
      <c r="AA56" t="s">
        <v>661</v>
      </c>
    </row>
    <row r="57" hidden="1" spans="1:27">
      <c r="A57" t="s">
        <v>393</v>
      </c>
      <c r="B57">
        <v>3</v>
      </c>
      <c r="C57">
        <v>9</v>
      </c>
      <c r="D57" t="s">
        <v>658</v>
      </c>
      <c r="E57">
        <v>9.962</v>
      </c>
      <c r="F57">
        <v>7.6</v>
      </c>
      <c r="G57">
        <v>1.269</v>
      </c>
      <c r="H57">
        <v>6.327</v>
      </c>
      <c r="I57">
        <v>16.6973684210526</v>
      </c>
      <c r="J57">
        <v>83.25</v>
      </c>
      <c r="K57">
        <v>76.2899016261795</v>
      </c>
      <c r="L57">
        <v>12.7384059425818</v>
      </c>
      <c r="M57">
        <v>0.00399999999999956</v>
      </c>
      <c r="N57">
        <v>0.0526315789473626</v>
      </c>
      <c r="O57">
        <v>6.331</v>
      </c>
      <c r="P57" t="s">
        <v>659</v>
      </c>
      <c r="R57">
        <v>0</v>
      </c>
      <c r="S57">
        <v>168</v>
      </c>
      <c r="T57">
        <v>182</v>
      </c>
      <c r="U57">
        <v>173</v>
      </c>
      <c r="V57">
        <v>170</v>
      </c>
      <c r="W57">
        <v>1</v>
      </c>
      <c r="X57">
        <v>1</v>
      </c>
      <c r="Y57" t="s">
        <v>714</v>
      </c>
      <c r="Z57" t="s">
        <v>534</v>
      </c>
      <c r="AA57" t="s">
        <v>661</v>
      </c>
    </row>
    <row r="58" hidden="1" spans="1:27">
      <c r="A58" t="s">
        <v>393</v>
      </c>
      <c r="B58">
        <v>3</v>
      </c>
      <c r="C58">
        <v>14</v>
      </c>
      <c r="D58" t="s">
        <v>658</v>
      </c>
      <c r="E58">
        <v>7.659</v>
      </c>
      <c r="F58">
        <v>7.1</v>
      </c>
      <c r="G58">
        <v>1.14</v>
      </c>
      <c r="H58">
        <v>5.893</v>
      </c>
      <c r="I58">
        <v>16.056338028169</v>
      </c>
      <c r="J58">
        <v>83</v>
      </c>
      <c r="K58">
        <v>92.7013970492231</v>
      </c>
      <c r="L58">
        <v>14.8844496670584</v>
      </c>
      <c r="M58">
        <v>0.0670000000000002</v>
      </c>
      <c r="N58">
        <v>0.943661971830988</v>
      </c>
      <c r="O58">
        <v>5.96</v>
      </c>
      <c r="P58" t="s">
        <v>659</v>
      </c>
      <c r="R58">
        <v>0</v>
      </c>
      <c r="S58">
        <v>248</v>
      </c>
      <c r="T58">
        <v>262</v>
      </c>
      <c r="U58">
        <v>253</v>
      </c>
      <c r="V58">
        <v>250</v>
      </c>
      <c r="W58">
        <v>1</v>
      </c>
      <c r="X58">
        <v>1</v>
      </c>
      <c r="Y58" t="s">
        <v>715</v>
      </c>
      <c r="Z58" t="s">
        <v>534</v>
      </c>
      <c r="AA58" t="s">
        <v>661</v>
      </c>
    </row>
    <row r="59" hidden="1" spans="1:27">
      <c r="A59" t="s">
        <v>334</v>
      </c>
      <c r="B59">
        <v>3</v>
      </c>
      <c r="C59">
        <v>5</v>
      </c>
      <c r="D59" t="s">
        <v>670</v>
      </c>
      <c r="E59">
        <v>2.165</v>
      </c>
      <c r="F59">
        <v>1.4</v>
      </c>
      <c r="G59">
        <v>0.223</v>
      </c>
      <c r="H59">
        <v>1.134</v>
      </c>
      <c r="I59">
        <v>15.9285714285714</v>
      </c>
      <c r="J59">
        <v>81</v>
      </c>
      <c r="K59">
        <v>64.6651270207852</v>
      </c>
      <c r="L59">
        <v>10.3002309468822</v>
      </c>
      <c r="M59">
        <v>0.0429999999999999</v>
      </c>
      <c r="N59">
        <v>3.07142857142857</v>
      </c>
      <c r="O59">
        <v>1.177</v>
      </c>
      <c r="P59" t="s">
        <v>659</v>
      </c>
      <c r="R59">
        <v>0</v>
      </c>
      <c r="S59">
        <v>105</v>
      </c>
      <c r="T59">
        <v>119</v>
      </c>
      <c r="U59">
        <v>110</v>
      </c>
      <c r="V59">
        <v>107</v>
      </c>
      <c r="W59">
        <v>1</v>
      </c>
      <c r="X59">
        <v>1</v>
      </c>
      <c r="Y59" t="s">
        <v>701</v>
      </c>
      <c r="Z59" t="s">
        <v>532</v>
      </c>
      <c r="AA59" t="s">
        <v>661</v>
      </c>
    </row>
    <row r="60" hidden="1" spans="1:27">
      <c r="A60" t="s">
        <v>393</v>
      </c>
      <c r="B60">
        <v>3</v>
      </c>
      <c r="C60">
        <v>27</v>
      </c>
      <c r="D60" t="s">
        <v>658</v>
      </c>
      <c r="E60">
        <v>4.471</v>
      </c>
      <c r="F60">
        <v>4</v>
      </c>
      <c r="G60">
        <v>0.628</v>
      </c>
      <c r="H60">
        <v>3.345</v>
      </c>
      <c r="I60">
        <v>15.7</v>
      </c>
      <c r="J60">
        <v>83.625</v>
      </c>
      <c r="K60">
        <v>89.4654439722657</v>
      </c>
      <c r="L60">
        <v>14.0460747036457</v>
      </c>
      <c r="M60">
        <v>0.0269999999999997</v>
      </c>
      <c r="N60">
        <v>0.674999999999992</v>
      </c>
      <c r="O60">
        <v>3.372</v>
      </c>
      <c r="P60" t="s">
        <v>659</v>
      </c>
      <c r="R60">
        <v>0</v>
      </c>
      <c r="S60">
        <v>456</v>
      </c>
      <c r="T60">
        <v>470</v>
      </c>
      <c r="U60">
        <v>461</v>
      </c>
      <c r="V60">
        <v>458</v>
      </c>
      <c r="W60">
        <v>1</v>
      </c>
      <c r="X60">
        <v>1</v>
      </c>
      <c r="Y60" t="s">
        <v>716</v>
      </c>
      <c r="Z60" t="s">
        <v>534</v>
      </c>
      <c r="AA60" t="s">
        <v>661</v>
      </c>
    </row>
    <row r="61" hidden="1" spans="1:27">
      <c r="A61" t="s">
        <v>214</v>
      </c>
      <c r="B61">
        <v>3</v>
      </c>
      <c r="C61">
        <v>18</v>
      </c>
      <c r="D61" t="s">
        <v>658</v>
      </c>
      <c r="E61">
        <v>5.791</v>
      </c>
      <c r="F61">
        <v>5.1</v>
      </c>
      <c r="G61">
        <v>0.8</v>
      </c>
      <c r="H61">
        <v>4.223</v>
      </c>
      <c r="I61">
        <v>15.6862745098039</v>
      </c>
      <c r="J61">
        <v>82.8039215686275</v>
      </c>
      <c r="K61">
        <v>88.0676912450354</v>
      </c>
      <c r="L61">
        <v>13.8145398031428</v>
      </c>
      <c r="M61">
        <v>0.077</v>
      </c>
      <c r="N61">
        <v>1.50980392156863</v>
      </c>
      <c r="O61">
        <v>4.3</v>
      </c>
      <c r="P61" t="s">
        <v>659</v>
      </c>
      <c r="R61">
        <v>0</v>
      </c>
      <c r="S61">
        <v>323</v>
      </c>
      <c r="T61">
        <v>337</v>
      </c>
      <c r="U61">
        <v>328</v>
      </c>
      <c r="V61">
        <v>325</v>
      </c>
      <c r="W61">
        <v>1</v>
      </c>
      <c r="X61">
        <v>1</v>
      </c>
      <c r="Y61" t="s">
        <v>717</v>
      </c>
      <c r="Z61" t="s">
        <v>526</v>
      </c>
      <c r="AA61" t="s">
        <v>661</v>
      </c>
    </row>
    <row r="62" hidden="1" spans="1:27">
      <c r="A62" t="s">
        <v>144</v>
      </c>
      <c r="B62">
        <v>2</v>
      </c>
      <c r="C62">
        <v>13</v>
      </c>
      <c r="D62" t="s">
        <v>658</v>
      </c>
      <c r="E62">
        <v>0.484</v>
      </c>
      <c r="F62">
        <v>0.2</v>
      </c>
      <c r="G62">
        <v>0.029</v>
      </c>
      <c r="H62">
        <v>0.193</v>
      </c>
      <c r="I62">
        <v>14.5</v>
      </c>
      <c r="J62">
        <v>96.5</v>
      </c>
      <c r="K62">
        <v>41.3223140495868</v>
      </c>
      <c r="L62">
        <v>5.99173553719008</v>
      </c>
      <c r="M62">
        <v>-0.022</v>
      </c>
      <c r="N62">
        <v>11</v>
      </c>
      <c r="O62">
        <v>0.171</v>
      </c>
      <c r="P62" t="s">
        <v>659</v>
      </c>
      <c r="R62">
        <v>0</v>
      </c>
      <c r="S62">
        <v>232</v>
      </c>
      <c r="T62">
        <v>246</v>
      </c>
      <c r="U62">
        <v>237</v>
      </c>
      <c r="V62">
        <v>234</v>
      </c>
      <c r="W62">
        <v>1</v>
      </c>
      <c r="X62">
        <v>1</v>
      </c>
      <c r="Y62" t="s">
        <v>718</v>
      </c>
      <c r="Z62" t="s">
        <v>524</v>
      </c>
      <c r="AA62" t="s">
        <v>661</v>
      </c>
    </row>
    <row r="63" hidden="1" spans="1:27">
      <c r="A63" t="s">
        <v>393</v>
      </c>
      <c r="B63">
        <v>3</v>
      </c>
      <c r="C63">
        <v>19</v>
      </c>
      <c r="D63" t="s">
        <v>658</v>
      </c>
      <c r="E63">
        <v>8.038</v>
      </c>
      <c r="F63">
        <v>7.3</v>
      </c>
      <c r="G63">
        <v>1.052</v>
      </c>
      <c r="H63">
        <v>6.211</v>
      </c>
      <c r="I63">
        <v>14.4109589041096</v>
      </c>
      <c r="J63">
        <v>85.0821917808219</v>
      </c>
      <c r="K63">
        <v>90.8186115949241</v>
      </c>
      <c r="L63">
        <v>13.0878327942274</v>
      </c>
      <c r="M63">
        <v>0.0369999999999999</v>
      </c>
      <c r="N63">
        <v>0.506849315068492</v>
      </c>
      <c r="O63">
        <v>6.248</v>
      </c>
      <c r="P63" t="s">
        <v>659</v>
      </c>
      <c r="R63">
        <v>0</v>
      </c>
      <c r="S63">
        <v>328</v>
      </c>
      <c r="T63">
        <v>342</v>
      </c>
      <c r="U63">
        <v>333</v>
      </c>
      <c r="V63">
        <v>330</v>
      </c>
      <c r="W63">
        <v>1</v>
      </c>
      <c r="X63">
        <v>1</v>
      </c>
      <c r="Y63" t="s">
        <v>719</v>
      </c>
      <c r="Z63" t="s">
        <v>534</v>
      </c>
      <c r="AA63" t="s">
        <v>661</v>
      </c>
    </row>
    <row r="64" hidden="1" spans="1:27">
      <c r="A64" t="s">
        <v>214</v>
      </c>
      <c r="B64">
        <v>3</v>
      </c>
      <c r="C64">
        <v>19</v>
      </c>
      <c r="D64" t="s">
        <v>658</v>
      </c>
      <c r="E64">
        <v>6.366</v>
      </c>
      <c r="F64">
        <v>4.9</v>
      </c>
      <c r="G64">
        <v>0.67</v>
      </c>
      <c r="H64">
        <v>4.196</v>
      </c>
      <c r="I64">
        <v>13.6734693877551</v>
      </c>
      <c r="J64">
        <v>85.6326530612245</v>
      </c>
      <c r="K64">
        <v>76.971410618913</v>
      </c>
      <c r="L64">
        <v>10.5246622683003</v>
      </c>
      <c r="M64">
        <v>0.0340000000000007</v>
      </c>
      <c r="N64">
        <v>0.693877551020422</v>
      </c>
      <c r="O64">
        <v>4.23</v>
      </c>
      <c r="P64" t="s">
        <v>659</v>
      </c>
      <c r="R64">
        <v>0</v>
      </c>
      <c r="S64">
        <v>339</v>
      </c>
      <c r="T64">
        <v>353</v>
      </c>
      <c r="U64">
        <v>344</v>
      </c>
      <c r="V64">
        <v>341</v>
      </c>
      <c r="W64">
        <v>1</v>
      </c>
      <c r="X64">
        <v>1</v>
      </c>
      <c r="Y64" t="s">
        <v>720</v>
      </c>
      <c r="Z64" t="s">
        <v>526</v>
      </c>
      <c r="AA64" t="s">
        <v>661</v>
      </c>
    </row>
    <row r="65" hidden="1" spans="1:27">
      <c r="A65" t="s">
        <v>334</v>
      </c>
      <c r="B65">
        <v>3</v>
      </c>
      <c r="C65">
        <v>6</v>
      </c>
      <c r="D65" t="s">
        <v>658</v>
      </c>
      <c r="E65">
        <v>2.463</v>
      </c>
      <c r="F65">
        <v>2</v>
      </c>
      <c r="G65">
        <v>0.258</v>
      </c>
      <c r="H65">
        <v>1.75</v>
      </c>
      <c r="I65">
        <v>12.9</v>
      </c>
      <c r="J65">
        <v>87.5</v>
      </c>
      <c r="K65">
        <v>81.2017864393017</v>
      </c>
      <c r="L65">
        <v>10.4750304506699</v>
      </c>
      <c r="M65">
        <v>-0.00800000000000001</v>
      </c>
      <c r="N65">
        <v>0.4</v>
      </c>
      <c r="O65">
        <v>1.742</v>
      </c>
      <c r="P65" t="s">
        <v>659</v>
      </c>
      <c r="R65">
        <v>0</v>
      </c>
      <c r="S65">
        <v>121</v>
      </c>
      <c r="T65">
        <v>135</v>
      </c>
      <c r="U65">
        <v>126</v>
      </c>
      <c r="V65">
        <v>123</v>
      </c>
      <c r="W65">
        <v>1</v>
      </c>
      <c r="X65">
        <v>1</v>
      </c>
      <c r="Y65" t="s">
        <v>721</v>
      </c>
      <c r="Z65" t="s">
        <v>532</v>
      </c>
      <c r="AA65" t="s">
        <v>661</v>
      </c>
    </row>
    <row r="66" hidden="1" spans="1:27">
      <c r="A66" t="s">
        <v>393</v>
      </c>
      <c r="B66">
        <v>3</v>
      </c>
      <c r="C66">
        <v>12</v>
      </c>
      <c r="D66" t="s">
        <v>658</v>
      </c>
      <c r="E66">
        <v>10.058</v>
      </c>
      <c r="F66">
        <v>9.6</v>
      </c>
      <c r="G66">
        <v>1.176</v>
      </c>
      <c r="H66">
        <v>8.374</v>
      </c>
      <c r="I66">
        <v>12.25</v>
      </c>
      <c r="J66">
        <v>87.2291666666667</v>
      </c>
      <c r="K66">
        <v>95.4464108172599</v>
      </c>
      <c r="L66">
        <v>11.6921853251143</v>
      </c>
      <c r="M66">
        <v>0.0499999999999989</v>
      </c>
      <c r="N66">
        <v>0.520833333333322</v>
      </c>
      <c r="O66">
        <v>8.424</v>
      </c>
      <c r="P66" t="s">
        <v>659</v>
      </c>
      <c r="R66">
        <v>0</v>
      </c>
      <c r="S66">
        <v>216</v>
      </c>
      <c r="T66">
        <v>230</v>
      </c>
      <c r="U66">
        <v>221</v>
      </c>
      <c r="V66">
        <v>218</v>
      </c>
      <c r="W66">
        <v>1</v>
      </c>
      <c r="X66">
        <v>1</v>
      </c>
      <c r="Y66" t="s">
        <v>722</v>
      </c>
      <c r="Z66" t="s">
        <v>534</v>
      </c>
      <c r="AA66" t="s">
        <v>661</v>
      </c>
    </row>
    <row r="67" hidden="1" spans="1:27">
      <c r="A67" t="s">
        <v>457</v>
      </c>
      <c r="B67">
        <v>3</v>
      </c>
      <c r="C67">
        <v>14</v>
      </c>
      <c r="D67" t="s">
        <v>723</v>
      </c>
      <c r="E67">
        <v>1.543</v>
      </c>
      <c r="F67">
        <v>1.2</v>
      </c>
      <c r="G67">
        <v>0.146</v>
      </c>
      <c r="H67">
        <v>1.026</v>
      </c>
      <c r="I67">
        <v>12.1666666666667</v>
      </c>
      <c r="J67">
        <v>85.5</v>
      </c>
      <c r="K67">
        <v>77.7705767984446</v>
      </c>
      <c r="L67">
        <v>9.46208684381076</v>
      </c>
      <c r="M67">
        <v>0.028</v>
      </c>
      <c r="N67">
        <v>2.33333333333334</v>
      </c>
      <c r="O67">
        <v>1.054</v>
      </c>
      <c r="P67" t="s">
        <v>659</v>
      </c>
      <c r="R67">
        <v>0</v>
      </c>
      <c r="S67">
        <v>249</v>
      </c>
      <c r="T67">
        <v>263</v>
      </c>
      <c r="U67">
        <v>254</v>
      </c>
      <c r="V67">
        <v>251</v>
      </c>
      <c r="W67">
        <v>1</v>
      </c>
      <c r="X67">
        <v>1</v>
      </c>
      <c r="Y67" t="s">
        <v>724</v>
      </c>
      <c r="Z67" t="s">
        <v>537</v>
      </c>
      <c r="AA67" t="s">
        <v>661</v>
      </c>
    </row>
    <row r="68" hidden="1" spans="1:27">
      <c r="A68" t="s">
        <v>393</v>
      </c>
      <c r="B68">
        <v>3</v>
      </c>
      <c r="C68">
        <v>20</v>
      </c>
      <c r="D68" t="s">
        <v>658</v>
      </c>
      <c r="E68">
        <v>7.464</v>
      </c>
      <c r="F68">
        <v>6.8</v>
      </c>
      <c r="G68">
        <v>0.825</v>
      </c>
      <c r="H68">
        <v>5.908</v>
      </c>
      <c r="I68">
        <v>12.1323529411765</v>
      </c>
      <c r="J68">
        <v>86.8823529411765</v>
      </c>
      <c r="K68">
        <v>91.1039657020364</v>
      </c>
      <c r="L68">
        <v>11.0530546623794</v>
      </c>
      <c r="M68">
        <v>0.0669999999999993</v>
      </c>
      <c r="N68">
        <v>0.985294117647048</v>
      </c>
      <c r="O68">
        <v>5.975</v>
      </c>
      <c r="P68" t="s">
        <v>659</v>
      </c>
      <c r="R68">
        <v>0</v>
      </c>
      <c r="S68">
        <v>344</v>
      </c>
      <c r="T68">
        <v>358</v>
      </c>
      <c r="U68">
        <v>349</v>
      </c>
      <c r="V68">
        <v>346</v>
      </c>
      <c r="W68">
        <v>1</v>
      </c>
      <c r="X68">
        <v>1</v>
      </c>
      <c r="Y68" t="s">
        <v>725</v>
      </c>
      <c r="Z68" t="s">
        <v>534</v>
      </c>
      <c r="AA68" t="s">
        <v>661</v>
      </c>
    </row>
    <row r="69" hidden="1" spans="1:27">
      <c r="A69" t="s">
        <v>432</v>
      </c>
      <c r="B69">
        <v>3</v>
      </c>
      <c r="C69">
        <v>4</v>
      </c>
      <c r="D69" t="s">
        <v>658</v>
      </c>
      <c r="E69">
        <v>2.609</v>
      </c>
      <c r="F69">
        <v>2.4</v>
      </c>
      <c r="G69">
        <v>0.291</v>
      </c>
      <c r="H69">
        <v>2.068</v>
      </c>
      <c r="I69">
        <v>12.125</v>
      </c>
      <c r="J69">
        <v>86.1666666666667</v>
      </c>
      <c r="K69">
        <v>91.9892679187428</v>
      </c>
      <c r="L69">
        <v>11.1536987351476</v>
      </c>
      <c r="M69">
        <v>0.0409999999999999</v>
      </c>
      <c r="N69">
        <v>1.70833333333333</v>
      </c>
      <c r="O69">
        <v>2.109</v>
      </c>
      <c r="P69" t="s">
        <v>659</v>
      </c>
      <c r="R69">
        <v>0</v>
      </c>
      <c r="S69">
        <v>89</v>
      </c>
      <c r="T69">
        <v>103</v>
      </c>
      <c r="U69">
        <v>94</v>
      </c>
      <c r="V69">
        <v>91</v>
      </c>
      <c r="W69">
        <v>1</v>
      </c>
      <c r="X69">
        <v>1</v>
      </c>
      <c r="Y69" t="s">
        <v>726</v>
      </c>
      <c r="Z69" t="s">
        <v>536</v>
      </c>
      <c r="AA69" t="s">
        <v>661</v>
      </c>
    </row>
    <row r="70" hidden="1" spans="1:27">
      <c r="A70" t="s">
        <v>393</v>
      </c>
      <c r="B70">
        <v>3</v>
      </c>
      <c r="C70">
        <v>21</v>
      </c>
      <c r="D70" t="s">
        <v>658</v>
      </c>
      <c r="E70">
        <v>8.004</v>
      </c>
      <c r="F70">
        <v>7.3</v>
      </c>
      <c r="G70">
        <v>0.873</v>
      </c>
      <c r="H70">
        <v>6.354</v>
      </c>
      <c r="I70">
        <v>11.958904109589</v>
      </c>
      <c r="J70">
        <v>87.041095890411</v>
      </c>
      <c r="K70">
        <v>91.2043978010995</v>
      </c>
      <c r="L70">
        <v>10.9070464767616</v>
      </c>
      <c r="M70">
        <v>0.0729999999999995</v>
      </c>
      <c r="N70">
        <v>0.999999999999993</v>
      </c>
      <c r="O70">
        <v>6.427</v>
      </c>
      <c r="P70" t="s">
        <v>659</v>
      </c>
      <c r="R70">
        <v>0</v>
      </c>
      <c r="S70">
        <v>360</v>
      </c>
      <c r="T70">
        <v>374</v>
      </c>
      <c r="U70">
        <v>365</v>
      </c>
      <c r="V70">
        <v>362</v>
      </c>
      <c r="W70">
        <v>1</v>
      </c>
      <c r="X70">
        <v>1</v>
      </c>
      <c r="Y70" t="s">
        <v>727</v>
      </c>
      <c r="Z70" t="s">
        <v>534</v>
      </c>
      <c r="AA70" t="s">
        <v>661</v>
      </c>
    </row>
    <row r="71" hidden="1" spans="1:27">
      <c r="A71" t="s">
        <v>41</v>
      </c>
      <c r="B71">
        <v>1</v>
      </c>
      <c r="C71">
        <v>2</v>
      </c>
      <c r="D71" t="s">
        <v>670</v>
      </c>
      <c r="E71">
        <v>1.108</v>
      </c>
      <c r="F71">
        <v>0.9</v>
      </c>
      <c r="G71">
        <v>0.107</v>
      </c>
      <c r="H71">
        <v>0.712</v>
      </c>
      <c r="I71">
        <v>11.8888888888889</v>
      </c>
      <c r="J71">
        <v>79.1111111111111</v>
      </c>
      <c r="K71">
        <v>81.2274368231047</v>
      </c>
      <c r="L71">
        <v>9.65703971119133</v>
      </c>
      <c r="M71">
        <v>0.0810000000000001</v>
      </c>
      <c r="N71">
        <v>9.00000000000001</v>
      </c>
      <c r="O71">
        <v>0.793</v>
      </c>
      <c r="P71" t="s">
        <v>659</v>
      </c>
      <c r="R71">
        <v>0</v>
      </c>
      <c r="S71">
        <v>56</v>
      </c>
      <c r="T71">
        <v>70</v>
      </c>
      <c r="U71">
        <v>61</v>
      </c>
      <c r="V71">
        <v>58</v>
      </c>
      <c r="W71">
        <v>1</v>
      </c>
      <c r="X71">
        <v>1</v>
      </c>
      <c r="Y71" t="s">
        <v>728</v>
      </c>
      <c r="Z71" t="s">
        <v>520</v>
      </c>
      <c r="AA71" t="s">
        <v>661</v>
      </c>
    </row>
    <row r="72" hidden="1" spans="1:27">
      <c r="A72" t="s">
        <v>393</v>
      </c>
      <c r="B72">
        <v>3</v>
      </c>
      <c r="C72">
        <v>23</v>
      </c>
      <c r="D72" t="s">
        <v>658</v>
      </c>
      <c r="E72">
        <v>7.108</v>
      </c>
      <c r="F72">
        <v>6.5</v>
      </c>
      <c r="G72">
        <v>0.736</v>
      </c>
      <c r="H72">
        <v>5.757</v>
      </c>
      <c r="I72">
        <v>11.3230769230769</v>
      </c>
      <c r="J72">
        <v>88.5692307692308</v>
      </c>
      <c r="K72">
        <v>91.4462577377603</v>
      </c>
      <c r="L72">
        <v>10.3545301069218</v>
      </c>
      <c r="M72">
        <v>0.00700000000000056</v>
      </c>
      <c r="N72">
        <v>0.107692307692316</v>
      </c>
      <c r="O72">
        <v>5.764</v>
      </c>
      <c r="P72" t="s">
        <v>659</v>
      </c>
      <c r="R72">
        <v>0</v>
      </c>
      <c r="S72">
        <v>392</v>
      </c>
      <c r="T72">
        <v>406</v>
      </c>
      <c r="U72">
        <v>397</v>
      </c>
      <c r="V72">
        <v>394</v>
      </c>
      <c r="W72">
        <v>1</v>
      </c>
      <c r="X72">
        <v>1</v>
      </c>
      <c r="Y72" t="s">
        <v>729</v>
      </c>
      <c r="Z72" t="s">
        <v>534</v>
      </c>
      <c r="AA72" t="s">
        <v>661</v>
      </c>
    </row>
    <row r="73" hidden="1" spans="1:27">
      <c r="A73" t="s">
        <v>253</v>
      </c>
      <c r="B73">
        <v>1</v>
      </c>
      <c r="C73">
        <v>1</v>
      </c>
      <c r="D73" t="s">
        <v>658</v>
      </c>
      <c r="E73">
        <v>1.607</v>
      </c>
      <c r="F73">
        <v>1.1</v>
      </c>
      <c r="G73">
        <v>0.124</v>
      </c>
      <c r="H73">
        <v>0.944</v>
      </c>
      <c r="I73">
        <v>11.2727272727273</v>
      </c>
      <c r="J73">
        <v>85.8181818181818</v>
      </c>
      <c r="K73">
        <v>68.4505289359054</v>
      </c>
      <c r="L73">
        <v>7.71624144368388</v>
      </c>
      <c r="M73">
        <v>0.032</v>
      </c>
      <c r="N73">
        <v>2.90909090909091</v>
      </c>
      <c r="O73">
        <v>0.976</v>
      </c>
      <c r="P73" t="s">
        <v>659</v>
      </c>
      <c r="R73">
        <v>0</v>
      </c>
      <c r="S73">
        <v>40</v>
      </c>
      <c r="T73">
        <v>54</v>
      </c>
      <c r="U73">
        <v>45</v>
      </c>
      <c r="V73">
        <v>42</v>
      </c>
      <c r="W73">
        <v>1</v>
      </c>
      <c r="X73">
        <v>1</v>
      </c>
      <c r="Y73" t="s">
        <v>730</v>
      </c>
      <c r="Z73" t="s">
        <v>527</v>
      </c>
      <c r="AA73" t="s">
        <v>661</v>
      </c>
    </row>
    <row r="74" hidden="1" spans="1:27">
      <c r="A74" t="s">
        <v>144</v>
      </c>
      <c r="B74">
        <v>2</v>
      </c>
      <c r="C74">
        <v>12</v>
      </c>
      <c r="D74" t="s">
        <v>658</v>
      </c>
      <c r="E74">
        <v>0.432</v>
      </c>
      <c r="F74">
        <v>0.2</v>
      </c>
      <c r="G74">
        <v>0.022</v>
      </c>
      <c r="H74">
        <v>0.169</v>
      </c>
      <c r="I74">
        <v>11</v>
      </c>
      <c r="J74">
        <v>84.5</v>
      </c>
      <c r="K74">
        <v>46.2962962962963</v>
      </c>
      <c r="L74">
        <v>5.09259259259259</v>
      </c>
      <c r="M74">
        <v>0.00900000000000001</v>
      </c>
      <c r="N74">
        <v>4.5</v>
      </c>
      <c r="O74">
        <v>0.178</v>
      </c>
      <c r="P74" t="s">
        <v>659</v>
      </c>
      <c r="R74">
        <v>0</v>
      </c>
      <c r="S74">
        <v>216</v>
      </c>
      <c r="T74">
        <v>230</v>
      </c>
      <c r="U74">
        <v>221</v>
      </c>
      <c r="V74">
        <v>218</v>
      </c>
      <c r="W74">
        <v>1</v>
      </c>
      <c r="X74">
        <v>1</v>
      </c>
      <c r="Y74" t="s">
        <v>731</v>
      </c>
      <c r="Z74" t="s">
        <v>524</v>
      </c>
      <c r="AA74" t="s">
        <v>661</v>
      </c>
    </row>
    <row r="75" hidden="1" spans="1:27">
      <c r="A75" t="s">
        <v>318</v>
      </c>
      <c r="B75">
        <v>3</v>
      </c>
      <c r="C75">
        <v>47</v>
      </c>
      <c r="D75" t="s">
        <v>658</v>
      </c>
      <c r="E75">
        <v>1.031</v>
      </c>
      <c r="F75">
        <v>0.4</v>
      </c>
      <c r="G75">
        <v>0.044</v>
      </c>
      <c r="H75">
        <v>0.336</v>
      </c>
      <c r="I75">
        <v>11</v>
      </c>
      <c r="J75">
        <v>84</v>
      </c>
      <c r="K75">
        <v>38.7972841901067</v>
      </c>
      <c r="L75">
        <v>4.26770126091174</v>
      </c>
      <c r="M75">
        <v>0.02</v>
      </c>
      <c r="N75">
        <v>5</v>
      </c>
      <c r="O75">
        <v>0.356</v>
      </c>
      <c r="P75" t="s">
        <v>659</v>
      </c>
      <c r="R75">
        <v>0</v>
      </c>
      <c r="S75">
        <v>773</v>
      </c>
      <c r="T75">
        <v>787</v>
      </c>
      <c r="U75">
        <v>778</v>
      </c>
      <c r="V75">
        <v>775</v>
      </c>
      <c r="W75">
        <v>1</v>
      </c>
      <c r="X75">
        <v>1</v>
      </c>
      <c r="Y75" t="s">
        <v>732</v>
      </c>
      <c r="Z75" t="s">
        <v>531</v>
      </c>
      <c r="AA75" t="s">
        <v>661</v>
      </c>
    </row>
    <row r="76" hidden="1" spans="1:27">
      <c r="A76" t="s">
        <v>432</v>
      </c>
      <c r="B76">
        <v>3</v>
      </c>
      <c r="C76">
        <v>9</v>
      </c>
      <c r="D76" t="s">
        <v>658</v>
      </c>
      <c r="E76">
        <v>5.375</v>
      </c>
      <c r="F76">
        <v>4.4</v>
      </c>
      <c r="G76">
        <v>0.482</v>
      </c>
      <c r="H76">
        <v>3.825</v>
      </c>
      <c r="I76">
        <v>10.9545454545455</v>
      </c>
      <c r="J76">
        <v>86.9318181818182</v>
      </c>
      <c r="K76">
        <v>81.8604651162791</v>
      </c>
      <c r="L76">
        <v>8.96744186046512</v>
      </c>
      <c r="M76">
        <v>0.093</v>
      </c>
      <c r="N76">
        <v>2.11363636363636</v>
      </c>
      <c r="O76">
        <v>3.918</v>
      </c>
      <c r="P76" t="s">
        <v>659</v>
      </c>
      <c r="R76">
        <v>0</v>
      </c>
      <c r="S76">
        <v>169</v>
      </c>
      <c r="T76">
        <v>183</v>
      </c>
      <c r="U76">
        <v>174</v>
      </c>
      <c r="V76">
        <v>171</v>
      </c>
      <c r="W76">
        <v>1</v>
      </c>
      <c r="X76">
        <v>1</v>
      </c>
      <c r="Y76" t="s">
        <v>733</v>
      </c>
      <c r="Z76" t="s">
        <v>536</v>
      </c>
      <c r="AA76" t="s">
        <v>661</v>
      </c>
    </row>
    <row r="77" hidden="1" spans="1:27">
      <c r="A77" t="s">
        <v>432</v>
      </c>
      <c r="B77">
        <v>3</v>
      </c>
      <c r="C77">
        <v>3</v>
      </c>
      <c r="D77" t="s">
        <v>658</v>
      </c>
      <c r="E77">
        <v>1.968</v>
      </c>
      <c r="F77">
        <v>1.7</v>
      </c>
      <c r="G77">
        <v>0.182</v>
      </c>
      <c r="H77">
        <v>1.479</v>
      </c>
      <c r="I77">
        <v>10.7058823529412</v>
      </c>
      <c r="J77">
        <v>87</v>
      </c>
      <c r="K77">
        <v>86.3821138211382</v>
      </c>
      <c r="L77">
        <v>9.2479674796748</v>
      </c>
      <c r="M77">
        <v>0.0389999999999999</v>
      </c>
      <c r="N77">
        <v>2.29411764705882</v>
      </c>
      <c r="O77">
        <v>1.518</v>
      </c>
      <c r="P77" t="s">
        <v>659</v>
      </c>
      <c r="R77">
        <v>0</v>
      </c>
      <c r="S77">
        <v>73</v>
      </c>
      <c r="T77">
        <v>87</v>
      </c>
      <c r="U77">
        <v>78</v>
      </c>
      <c r="V77">
        <v>75</v>
      </c>
      <c r="W77">
        <v>1</v>
      </c>
      <c r="X77">
        <v>1</v>
      </c>
      <c r="Y77" t="s">
        <v>734</v>
      </c>
      <c r="Z77" t="s">
        <v>536</v>
      </c>
      <c r="AA77" t="s">
        <v>661</v>
      </c>
    </row>
    <row r="78" hidden="1" spans="1:27">
      <c r="A78" t="s">
        <v>303</v>
      </c>
      <c r="B78">
        <v>2</v>
      </c>
      <c r="C78">
        <v>17</v>
      </c>
      <c r="D78" t="s">
        <v>658</v>
      </c>
      <c r="E78">
        <v>1.785</v>
      </c>
      <c r="F78">
        <v>1.4</v>
      </c>
      <c r="G78">
        <v>0.147</v>
      </c>
      <c r="H78">
        <v>1.178</v>
      </c>
      <c r="I78">
        <v>10.5</v>
      </c>
      <c r="J78">
        <v>84.1428571428571</v>
      </c>
      <c r="K78">
        <v>78.4313725490196</v>
      </c>
      <c r="L78">
        <v>8.23529411764706</v>
      </c>
      <c r="M78">
        <v>0.075</v>
      </c>
      <c r="N78">
        <v>5.35714285714285</v>
      </c>
      <c r="O78">
        <v>1.253</v>
      </c>
      <c r="P78" t="s">
        <v>659</v>
      </c>
      <c r="R78">
        <v>0</v>
      </c>
      <c r="S78">
        <v>306</v>
      </c>
      <c r="T78">
        <v>320</v>
      </c>
      <c r="U78">
        <v>311</v>
      </c>
      <c r="V78">
        <v>308</v>
      </c>
      <c r="W78">
        <v>1</v>
      </c>
      <c r="X78">
        <v>1</v>
      </c>
      <c r="Y78" t="s">
        <v>735</v>
      </c>
      <c r="Z78" t="s">
        <v>530</v>
      </c>
      <c r="AA78" t="s">
        <v>661</v>
      </c>
    </row>
    <row r="79" hidden="1" spans="1:27">
      <c r="A79" t="s">
        <v>393</v>
      </c>
      <c r="B79">
        <v>3</v>
      </c>
      <c r="C79">
        <v>10</v>
      </c>
      <c r="D79" t="s">
        <v>658</v>
      </c>
      <c r="E79">
        <v>8.824</v>
      </c>
      <c r="F79">
        <v>8.3</v>
      </c>
      <c r="G79">
        <v>0.864</v>
      </c>
      <c r="H79">
        <v>7.38</v>
      </c>
      <c r="I79">
        <v>10.4096385542169</v>
      </c>
      <c r="J79">
        <v>88.9156626506024</v>
      </c>
      <c r="K79">
        <v>94.0616500453309</v>
      </c>
      <c r="L79">
        <v>9.79147778785132</v>
      </c>
      <c r="M79">
        <v>0.0560000000000009</v>
      </c>
      <c r="N79">
        <v>0.674698795180734</v>
      </c>
      <c r="O79">
        <v>7.436</v>
      </c>
      <c r="P79" t="s">
        <v>659</v>
      </c>
      <c r="R79">
        <v>0</v>
      </c>
      <c r="S79">
        <v>184</v>
      </c>
      <c r="T79">
        <v>198</v>
      </c>
      <c r="U79">
        <v>189</v>
      </c>
      <c r="V79">
        <v>186</v>
      </c>
      <c r="W79">
        <v>1</v>
      </c>
      <c r="X79">
        <v>1</v>
      </c>
      <c r="Y79" t="s">
        <v>736</v>
      </c>
      <c r="Z79" t="s">
        <v>534</v>
      </c>
      <c r="AA79" t="s">
        <v>661</v>
      </c>
    </row>
    <row r="80" hidden="1" spans="1:27">
      <c r="A80" t="s">
        <v>393</v>
      </c>
      <c r="B80">
        <v>3</v>
      </c>
      <c r="C80">
        <v>11</v>
      </c>
      <c r="D80" t="s">
        <v>658</v>
      </c>
      <c r="E80">
        <v>11.116</v>
      </c>
      <c r="F80">
        <v>10.6</v>
      </c>
      <c r="G80">
        <v>1.099</v>
      </c>
      <c r="H80">
        <v>9.373</v>
      </c>
      <c r="I80">
        <v>10.3679245283019</v>
      </c>
      <c r="J80">
        <v>88.4245283018868</v>
      </c>
      <c r="K80">
        <v>95.358042461317</v>
      </c>
      <c r="L80">
        <v>9.88664987405541</v>
      </c>
      <c r="M80">
        <v>0.128</v>
      </c>
      <c r="N80">
        <v>1.20754716981132</v>
      </c>
      <c r="O80">
        <v>9.501</v>
      </c>
      <c r="P80" t="s">
        <v>659</v>
      </c>
      <c r="R80">
        <v>0</v>
      </c>
      <c r="S80">
        <v>200</v>
      </c>
      <c r="T80">
        <v>214</v>
      </c>
      <c r="U80">
        <v>205</v>
      </c>
      <c r="V80">
        <v>202</v>
      </c>
      <c r="W80">
        <v>1</v>
      </c>
      <c r="X80">
        <v>1</v>
      </c>
      <c r="Y80" t="s">
        <v>737</v>
      </c>
      <c r="Z80" t="s">
        <v>534</v>
      </c>
      <c r="AA80" t="s">
        <v>661</v>
      </c>
    </row>
    <row r="81" spans="1:27">
      <c r="A81" t="s">
        <v>1</v>
      </c>
      <c r="B81">
        <v>2</v>
      </c>
      <c r="C81">
        <v>7</v>
      </c>
      <c r="D81" t="s">
        <v>658</v>
      </c>
      <c r="E81">
        <v>3.004</v>
      </c>
      <c r="F81">
        <v>2.6</v>
      </c>
      <c r="G81">
        <v>0.266</v>
      </c>
      <c r="H81">
        <v>2.347</v>
      </c>
      <c r="I81">
        <v>10.2307692307692</v>
      </c>
      <c r="J81">
        <v>90.2692307692308</v>
      </c>
      <c r="K81">
        <v>86.5512649800266</v>
      </c>
      <c r="L81">
        <v>8.85486018641811</v>
      </c>
      <c r="M81">
        <v>-0.0129999999999999</v>
      </c>
      <c r="N81">
        <v>0.499999999999996</v>
      </c>
      <c r="O81">
        <v>2.334</v>
      </c>
      <c r="P81" t="s">
        <v>659</v>
      </c>
      <c r="R81">
        <v>0</v>
      </c>
      <c r="S81">
        <v>136</v>
      </c>
      <c r="T81">
        <v>150</v>
      </c>
      <c r="U81">
        <v>141</v>
      </c>
      <c r="V81">
        <v>138</v>
      </c>
      <c r="W81">
        <v>1</v>
      </c>
      <c r="X81">
        <v>1</v>
      </c>
      <c r="Y81" t="s">
        <v>738</v>
      </c>
      <c r="Z81" t="s">
        <v>518</v>
      </c>
      <c r="AA81" t="s">
        <v>661</v>
      </c>
    </row>
    <row r="82" hidden="1" spans="1:27">
      <c r="A82" t="s">
        <v>144</v>
      </c>
      <c r="B82">
        <v>2</v>
      </c>
      <c r="C82">
        <v>2</v>
      </c>
      <c r="D82" t="s">
        <v>739</v>
      </c>
      <c r="E82">
        <v>2.638</v>
      </c>
      <c r="F82">
        <v>2.3</v>
      </c>
      <c r="G82">
        <v>0.233</v>
      </c>
      <c r="H82">
        <v>2.009</v>
      </c>
      <c r="I82">
        <v>10.1304347826087</v>
      </c>
      <c r="J82">
        <v>87.3478260869565</v>
      </c>
      <c r="K82">
        <v>87.1872630780895</v>
      </c>
      <c r="L82">
        <v>8.83244882486732</v>
      </c>
      <c r="M82">
        <v>0.0579999999999998</v>
      </c>
      <c r="N82">
        <v>2.52173913043478</v>
      </c>
      <c r="O82">
        <v>2.067</v>
      </c>
      <c r="P82" t="s">
        <v>659</v>
      </c>
      <c r="R82">
        <v>0</v>
      </c>
      <c r="S82">
        <v>61</v>
      </c>
      <c r="T82">
        <v>75</v>
      </c>
      <c r="U82">
        <v>66</v>
      </c>
      <c r="V82">
        <v>63</v>
      </c>
      <c r="W82">
        <v>1</v>
      </c>
      <c r="X82">
        <v>1</v>
      </c>
      <c r="Y82" t="s">
        <v>740</v>
      </c>
      <c r="Z82" t="s">
        <v>524</v>
      </c>
      <c r="AA82" t="s">
        <v>661</v>
      </c>
    </row>
    <row r="83" hidden="1" spans="1:27">
      <c r="A83" t="s">
        <v>214</v>
      </c>
      <c r="B83">
        <v>3</v>
      </c>
      <c r="C83">
        <v>21</v>
      </c>
      <c r="D83" t="s">
        <v>658</v>
      </c>
      <c r="E83">
        <v>5.153</v>
      </c>
      <c r="F83">
        <v>4.5</v>
      </c>
      <c r="G83">
        <v>0.451</v>
      </c>
      <c r="H83">
        <v>4.016</v>
      </c>
      <c r="I83">
        <v>10.0222222222222</v>
      </c>
      <c r="J83">
        <v>89.2444444444445</v>
      </c>
      <c r="K83">
        <v>87.3277702309334</v>
      </c>
      <c r="L83">
        <v>8.75218319425577</v>
      </c>
      <c r="M83">
        <v>0.0330000000000004</v>
      </c>
      <c r="N83">
        <v>0.733333333333341</v>
      </c>
      <c r="O83">
        <v>4.049</v>
      </c>
      <c r="P83" t="s">
        <v>659</v>
      </c>
      <c r="R83">
        <v>0</v>
      </c>
      <c r="S83">
        <v>371</v>
      </c>
      <c r="T83">
        <v>385</v>
      </c>
      <c r="U83">
        <v>376</v>
      </c>
      <c r="V83">
        <v>373</v>
      </c>
      <c r="W83">
        <v>1</v>
      </c>
      <c r="X83">
        <v>1</v>
      </c>
      <c r="Y83" t="s">
        <v>741</v>
      </c>
      <c r="Z83" t="s">
        <v>526</v>
      </c>
      <c r="AA83" t="s">
        <v>661</v>
      </c>
    </row>
    <row r="84" hidden="1" spans="1:27">
      <c r="A84" t="s">
        <v>318</v>
      </c>
      <c r="B84">
        <v>3</v>
      </c>
      <c r="C84">
        <v>34</v>
      </c>
      <c r="D84" t="s">
        <v>658</v>
      </c>
      <c r="E84">
        <v>1.13</v>
      </c>
      <c r="F84">
        <v>0.6</v>
      </c>
      <c r="G84">
        <v>0.059</v>
      </c>
      <c r="H84">
        <v>0.493</v>
      </c>
      <c r="I84">
        <v>9.83333333333333</v>
      </c>
      <c r="J84">
        <v>82.1666666666667</v>
      </c>
      <c r="K84">
        <v>53.0973451327434</v>
      </c>
      <c r="L84">
        <v>5.2212389380531</v>
      </c>
      <c r="M84">
        <v>0.0479999999999999</v>
      </c>
      <c r="N84">
        <v>7.99999999999999</v>
      </c>
      <c r="O84">
        <v>0.541</v>
      </c>
      <c r="P84" t="s">
        <v>659</v>
      </c>
      <c r="R84">
        <v>0</v>
      </c>
      <c r="S84">
        <v>557</v>
      </c>
      <c r="T84">
        <v>571</v>
      </c>
      <c r="U84">
        <v>562</v>
      </c>
      <c r="V84">
        <v>559</v>
      </c>
      <c r="W84">
        <v>1</v>
      </c>
      <c r="X84">
        <v>1</v>
      </c>
      <c r="Y84" t="s">
        <v>742</v>
      </c>
      <c r="Z84" t="s">
        <v>531</v>
      </c>
      <c r="AA84" t="s">
        <v>661</v>
      </c>
    </row>
    <row r="85" hidden="1" spans="1:27">
      <c r="A85" t="s">
        <v>393</v>
      </c>
      <c r="B85">
        <v>3</v>
      </c>
      <c r="C85">
        <v>16</v>
      </c>
      <c r="D85" t="s">
        <v>658</v>
      </c>
      <c r="E85">
        <v>8.778</v>
      </c>
      <c r="F85">
        <v>8.3</v>
      </c>
      <c r="G85">
        <v>0.811</v>
      </c>
      <c r="H85">
        <v>7.418</v>
      </c>
      <c r="I85">
        <v>9.7710843373494</v>
      </c>
      <c r="J85">
        <v>89.3734939759036</v>
      </c>
      <c r="K85">
        <v>94.5545682387788</v>
      </c>
      <c r="L85">
        <v>9.23900660742766</v>
      </c>
      <c r="M85">
        <v>0.0709999999999997</v>
      </c>
      <c r="N85">
        <v>0.855421686746985</v>
      </c>
      <c r="O85">
        <v>7.489</v>
      </c>
      <c r="P85" t="s">
        <v>659</v>
      </c>
      <c r="R85">
        <v>0</v>
      </c>
      <c r="S85">
        <v>280</v>
      </c>
      <c r="T85">
        <v>294</v>
      </c>
      <c r="U85">
        <v>285</v>
      </c>
      <c r="V85">
        <v>282</v>
      </c>
      <c r="W85">
        <v>1</v>
      </c>
      <c r="X85">
        <v>1</v>
      </c>
      <c r="Y85" t="s">
        <v>743</v>
      </c>
      <c r="Z85" t="s">
        <v>534</v>
      </c>
      <c r="AA85" t="s">
        <v>661</v>
      </c>
    </row>
    <row r="86" hidden="1" spans="1:27">
      <c r="A86" t="s">
        <v>253</v>
      </c>
      <c r="B86">
        <v>1</v>
      </c>
      <c r="C86">
        <v>2</v>
      </c>
      <c r="D86" t="s">
        <v>658</v>
      </c>
      <c r="E86">
        <v>1.383</v>
      </c>
      <c r="F86">
        <v>1.1</v>
      </c>
      <c r="G86">
        <v>0.107</v>
      </c>
      <c r="H86">
        <v>0.928</v>
      </c>
      <c r="I86">
        <v>9.72727272727273</v>
      </c>
      <c r="J86">
        <v>84.3636363636364</v>
      </c>
      <c r="K86">
        <v>79.5372378886479</v>
      </c>
      <c r="L86">
        <v>7.73680404916847</v>
      </c>
      <c r="M86">
        <v>0.0649999999999999</v>
      </c>
      <c r="N86">
        <v>5.9090909090909</v>
      </c>
      <c r="O86">
        <v>0.993</v>
      </c>
      <c r="P86" t="s">
        <v>659</v>
      </c>
      <c r="R86">
        <v>0</v>
      </c>
      <c r="S86">
        <v>56</v>
      </c>
      <c r="T86">
        <v>70</v>
      </c>
      <c r="U86">
        <v>61</v>
      </c>
      <c r="V86">
        <v>58</v>
      </c>
      <c r="W86">
        <v>1</v>
      </c>
      <c r="X86">
        <v>1</v>
      </c>
      <c r="Y86" t="s">
        <v>740</v>
      </c>
      <c r="Z86" t="s">
        <v>527</v>
      </c>
      <c r="AA86" t="s">
        <v>661</v>
      </c>
    </row>
    <row r="87" hidden="1" spans="1:27">
      <c r="A87" t="s">
        <v>393</v>
      </c>
      <c r="B87">
        <v>3</v>
      </c>
      <c r="C87">
        <v>4</v>
      </c>
      <c r="D87" t="s">
        <v>658</v>
      </c>
      <c r="E87">
        <v>2.098</v>
      </c>
      <c r="F87">
        <v>1.8</v>
      </c>
      <c r="G87">
        <v>0.173</v>
      </c>
      <c r="H87">
        <v>1.615</v>
      </c>
      <c r="I87">
        <v>9.61111111111111</v>
      </c>
      <c r="J87">
        <v>89.7222222222222</v>
      </c>
      <c r="K87">
        <v>85.7959961868446</v>
      </c>
      <c r="L87">
        <v>8.24594852240229</v>
      </c>
      <c r="M87">
        <v>0.012</v>
      </c>
      <c r="N87">
        <v>0.666666666666667</v>
      </c>
      <c r="O87">
        <v>1.627</v>
      </c>
      <c r="P87" t="s">
        <v>659</v>
      </c>
      <c r="R87">
        <v>0</v>
      </c>
      <c r="S87">
        <v>88</v>
      </c>
      <c r="T87">
        <v>102</v>
      </c>
      <c r="U87">
        <v>93</v>
      </c>
      <c r="V87">
        <v>90</v>
      </c>
      <c r="W87">
        <v>1</v>
      </c>
      <c r="X87">
        <v>1</v>
      </c>
      <c r="Y87" t="s">
        <v>744</v>
      </c>
      <c r="Z87" t="s">
        <v>534</v>
      </c>
      <c r="AA87" t="s">
        <v>661</v>
      </c>
    </row>
    <row r="88" hidden="1" spans="1:27">
      <c r="A88" t="s">
        <v>334</v>
      </c>
      <c r="B88">
        <v>3</v>
      </c>
      <c r="C88">
        <v>7</v>
      </c>
      <c r="D88" t="s">
        <v>658</v>
      </c>
      <c r="E88">
        <v>3.627</v>
      </c>
      <c r="F88">
        <v>2.9</v>
      </c>
      <c r="G88">
        <v>0.273</v>
      </c>
      <c r="H88">
        <v>2.523</v>
      </c>
      <c r="I88">
        <v>9.41379310344828</v>
      </c>
      <c r="J88">
        <v>87</v>
      </c>
      <c r="K88">
        <v>79.9558864074993</v>
      </c>
      <c r="L88">
        <v>7.52688172043011</v>
      </c>
      <c r="M88">
        <v>0.104</v>
      </c>
      <c r="N88">
        <v>3.58620689655171</v>
      </c>
      <c r="O88">
        <v>2.627</v>
      </c>
      <c r="P88" t="s">
        <v>659</v>
      </c>
      <c r="R88">
        <v>0</v>
      </c>
      <c r="S88">
        <v>137</v>
      </c>
      <c r="T88">
        <v>151</v>
      </c>
      <c r="U88">
        <v>142</v>
      </c>
      <c r="V88">
        <v>139</v>
      </c>
      <c r="W88">
        <v>1</v>
      </c>
      <c r="X88">
        <v>1</v>
      </c>
      <c r="Y88" t="s">
        <v>745</v>
      </c>
      <c r="Z88" t="s">
        <v>532</v>
      </c>
      <c r="AA88" t="s">
        <v>661</v>
      </c>
    </row>
    <row r="89" hidden="1" spans="1:27">
      <c r="A89" t="s">
        <v>393</v>
      </c>
      <c r="B89">
        <v>3</v>
      </c>
      <c r="C89">
        <v>15</v>
      </c>
      <c r="D89" t="s">
        <v>658</v>
      </c>
      <c r="E89">
        <v>6.832</v>
      </c>
      <c r="F89">
        <v>6.2</v>
      </c>
      <c r="G89">
        <v>0.58</v>
      </c>
      <c r="H89">
        <v>5.627</v>
      </c>
      <c r="I89">
        <v>9.35483870967742</v>
      </c>
      <c r="J89">
        <v>90.758064516129</v>
      </c>
      <c r="K89">
        <v>90.7494145199063</v>
      </c>
      <c r="L89">
        <v>8.48946135831382</v>
      </c>
      <c r="M89">
        <v>-0.00699999999999967</v>
      </c>
      <c r="N89">
        <v>0.112903225806446</v>
      </c>
      <c r="O89">
        <v>5.62</v>
      </c>
      <c r="P89" t="s">
        <v>659</v>
      </c>
      <c r="R89">
        <v>0</v>
      </c>
      <c r="S89">
        <v>264</v>
      </c>
      <c r="T89">
        <v>278</v>
      </c>
      <c r="U89">
        <v>269</v>
      </c>
      <c r="V89">
        <v>266</v>
      </c>
      <c r="W89">
        <v>1</v>
      </c>
      <c r="X89">
        <v>1</v>
      </c>
      <c r="Y89" t="s">
        <v>746</v>
      </c>
      <c r="Z89" t="s">
        <v>534</v>
      </c>
      <c r="AA89" t="s">
        <v>661</v>
      </c>
    </row>
    <row r="90" hidden="1" spans="1:27">
      <c r="A90" t="s">
        <v>214</v>
      </c>
      <c r="B90">
        <v>3</v>
      </c>
      <c r="C90">
        <v>23</v>
      </c>
      <c r="D90" t="s">
        <v>658</v>
      </c>
      <c r="E90">
        <v>8.161</v>
      </c>
      <c r="F90">
        <v>5.8</v>
      </c>
      <c r="G90">
        <v>0.532</v>
      </c>
      <c r="H90">
        <v>5.247</v>
      </c>
      <c r="I90">
        <v>9.17241379310345</v>
      </c>
      <c r="J90">
        <v>90.4655172413793</v>
      </c>
      <c r="K90">
        <v>71.0697218478128</v>
      </c>
      <c r="L90">
        <v>6.51880896948903</v>
      </c>
      <c r="M90">
        <v>0.0209999999999999</v>
      </c>
      <c r="N90">
        <v>0.36206896551724</v>
      </c>
      <c r="O90">
        <v>5.268</v>
      </c>
      <c r="P90" t="s">
        <v>659</v>
      </c>
      <c r="R90">
        <v>0</v>
      </c>
      <c r="S90">
        <v>403</v>
      </c>
      <c r="T90">
        <v>417</v>
      </c>
      <c r="U90">
        <v>408</v>
      </c>
      <c r="V90">
        <v>405</v>
      </c>
      <c r="W90">
        <v>1</v>
      </c>
      <c r="X90">
        <v>1</v>
      </c>
      <c r="Y90" t="s">
        <v>747</v>
      </c>
      <c r="Z90" t="s">
        <v>526</v>
      </c>
      <c r="AA90" t="s">
        <v>661</v>
      </c>
    </row>
    <row r="91" hidden="1" spans="1:27">
      <c r="A91" t="s">
        <v>393</v>
      </c>
      <c r="B91">
        <v>3</v>
      </c>
      <c r="C91">
        <v>17</v>
      </c>
      <c r="D91" t="s">
        <v>658</v>
      </c>
      <c r="E91">
        <v>8.597</v>
      </c>
      <c r="F91">
        <v>8</v>
      </c>
      <c r="G91">
        <v>0.712</v>
      </c>
      <c r="H91">
        <v>7.184</v>
      </c>
      <c r="I91">
        <v>8.9</v>
      </c>
      <c r="J91">
        <v>89.8</v>
      </c>
      <c r="K91">
        <v>93.05571711062</v>
      </c>
      <c r="L91">
        <v>8.28195882284518</v>
      </c>
      <c r="M91">
        <v>0.104</v>
      </c>
      <c r="N91">
        <v>1.3</v>
      </c>
      <c r="O91">
        <v>7.288</v>
      </c>
      <c r="P91" t="s">
        <v>659</v>
      </c>
      <c r="R91">
        <v>0</v>
      </c>
      <c r="S91">
        <v>296</v>
      </c>
      <c r="T91">
        <v>310</v>
      </c>
      <c r="U91">
        <v>301</v>
      </c>
      <c r="V91">
        <v>298</v>
      </c>
      <c r="W91">
        <v>1</v>
      </c>
      <c r="X91">
        <v>1</v>
      </c>
      <c r="Y91" t="s">
        <v>746</v>
      </c>
      <c r="Z91" t="s">
        <v>534</v>
      </c>
      <c r="AA91" t="s">
        <v>661</v>
      </c>
    </row>
    <row r="92" hidden="1" spans="1:27">
      <c r="A92" t="s">
        <v>259</v>
      </c>
      <c r="B92">
        <v>1</v>
      </c>
      <c r="C92">
        <v>12</v>
      </c>
      <c r="D92" t="s">
        <v>658</v>
      </c>
      <c r="E92">
        <v>5.456</v>
      </c>
      <c r="F92">
        <v>4.8</v>
      </c>
      <c r="G92">
        <v>0.42</v>
      </c>
      <c r="H92">
        <v>4.368</v>
      </c>
      <c r="I92">
        <v>8.75</v>
      </c>
      <c r="J92">
        <v>91</v>
      </c>
      <c r="K92">
        <v>87.9765395894428</v>
      </c>
      <c r="L92">
        <v>7.69794721407624</v>
      </c>
      <c r="M92">
        <v>0.0119999999999996</v>
      </c>
      <c r="N92">
        <v>0.249999999999991</v>
      </c>
      <c r="O92">
        <v>4.38</v>
      </c>
      <c r="P92" t="s">
        <v>659</v>
      </c>
      <c r="R92">
        <v>0</v>
      </c>
      <c r="S92">
        <v>223</v>
      </c>
      <c r="T92">
        <v>237</v>
      </c>
      <c r="U92">
        <v>228</v>
      </c>
      <c r="V92">
        <v>225</v>
      </c>
      <c r="W92">
        <v>1</v>
      </c>
      <c r="X92">
        <v>1</v>
      </c>
      <c r="Y92" t="s">
        <v>748</v>
      </c>
      <c r="Z92" t="s">
        <v>528</v>
      </c>
      <c r="AA92" t="s">
        <v>661</v>
      </c>
    </row>
    <row r="93" hidden="1" spans="1:27">
      <c r="A93" t="s">
        <v>303</v>
      </c>
      <c r="B93">
        <v>2</v>
      </c>
      <c r="C93">
        <v>16</v>
      </c>
      <c r="D93" t="s">
        <v>658</v>
      </c>
      <c r="E93">
        <v>1.586</v>
      </c>
      <c r="F93">
        <v>1.2</v>
      </c>
      <c r="G93">
        <v>0.104</v>
      </c>
      <c r="H93">
        <v>1.051</v>
      </c>
      <c r="I93">
        <v>8.66666666666667</v>
      </c>
      <c r="J93">
        <v>87.5833333333333</v>
      </c>
      <c r="K93">
        <v>75.6620428751576</v>
      </c>
      <c r="L93">
        <v>6.55737704918033</v>
      </c>
      <c r="M93">
        <v>0.0449999999999999</v>
      </c>
      <c r="N93">
        <v>3.74999999999999</v>
      </c>
      <c r="O93">
        <v>1.096</v>
      </c>
      <c r="P93" t="s">
        <v>659</v>
      </c>
      <c r="R93">
        <v>0</v>
      </c>
      <c r="S93">
        <v>290</v>
      </c>
      <c r="T93">
        <v>304</v>
      </c>
      <c r="U93">
        <v>295</v>
      </c>
      <c r="V93">
        <v>292</v>
      </c>
      <c r="W93">
        <v>1</v>
      </c>
      <c r="X93">
        <v>1</v>
      </c>
      <c r="Y93" t="s">
        <v>749</v>
      </c>
      <c r="Z93" t="s">
        <v>530</v>
      </c>
      <c r="AA93" t="s">
        <v>661</v>
      </c>
    </row>
    <row r="94" hidden="1" spans="1:27">
      <c r="A94" t="s">
        <v>393</v>
      </c>
      <c r="B94">
        <v>3</v>
      </c>
      <c r="C94">
        <v>18</v>
      </c>
      <c r="D94" t="s">
        <v>658</v>
      </c>
      <c r="E94">
        <v>9.695</v>
      </c>
      <c r="F94">
        <v>7.9</v>
      </c>
      <c r="G94">
        <v>0.682</v>
      </c>
      <c r="H94">
        <v>7.111</v>
      </c>
      <c r="I94">
        <v>8.63291139240506</v>
      </c>
      <c r="J94">
        <v>90.0126582278481</v>
      </c>
      <c r="K94">
        <v>81.4853017019082</v>
      </c>
      <c r="L94">
        <v>7.03455389375967</v>
      </c>
      <c r="M94">
        <v>0.107</v>
      </c>
      <c r="N94">
        <v>1.35443037974684</v>
      </c>
      <c r="O94">
        <v>7.218</v>
      </c>
      <c r="P94" t="s">
        <v>659</v>
      </c>
      <c r="R94">
        <v>0</v>
      </c>
      <c r="S94">
        <v>312</v>
      </c>
      <c r="T94">
        <v>326</v>
      </c>
      <c r="U94">
        <v>317</v>
      </c>
      <c r="V94">
        <v>314</v>
      </c>
      <c r="W94">
        <v>1</v>
      </c>
      <c r="X94">
        <v>1</v>
      </c>
      <c r="Y94" t="s">
        <v>750</v>
      </c>
      <c r="Z94" t="s">
        <v>534</v>
      </c>
      <c r="AA94" t="s">
        <v>661</v>
      </c>
    </row>
    <row r="95" hidden="1" spans="1:27">
      <c r="A95" t="s">
        <v>41</v>
      </c>
      <c r="B95">
        <v>1</v>
      </c>
      <c r="C95">
        <v>20</v>
      </c>
      <c r="D95" t="s">
        <v>658</v>
      </c>
      <c r="E95">
        <v>2.635</v>
      </c>
      <c r="F95">
        <v>1.6</v>
      </c>
      <c r="G95">
        <v>0.137</v>
      </c>
      <c r="H95">
        <v>1.484</v>
      </c>
      <c r="I95">
        <v>8.5625</v>
      </c>
      <c r="J95">
        <v>92.75</v>
      </c>
      <c r="K95">
        <v>60.7210626185958</v>
      </c>
      <c r="L95">
        <v>5.19924098671727</v>
      </c>
      <c r="M95">
        <v>-0.0209999999999999</v>
      </c>
      <c r="N95">
        <v>1.31249999999999</v>
      </c>
      <c r="O95">
        <v>1.463</v>
      </c>
      <c r="P95" t="s">
        <v>659</v>
      </c>
      <c r="R95">
        <v>0</v>
      </c>
      <c r="S95">
        <v>350</v>
      </c>
      <c r="T95">
        <v>364</v>
      </c>
      <c r="U95">
        <v>355</v>
      </c>
      <c r="V95">
        <v>352</v>
      </c>
      <c r="W95">
        <v>1</v>
      </c>
      <c r="X95">
        <v>1</v>
      </c>
      <c r="Y95" t="s">
        <v>751</v>
      </c>
      <c r="Z95" t="s">
        <v>520</v>
      </c>
      <c r="AA95" t="s">
        <v>661</v>
      </c>
    </row>
    <row r="96" hidden="1" spans="1:27">
      <c r="A96" t="s">
        <v>318</v>
      </c>
      <c r="B96">
        <v>3</v>
      </c>
      <c r="C96">
        <v>5</v>
      </c>
      <c r="D96" t="s">
        <v>739</v>
      </c>
      <c r="E96">
        <v>0.516</v>
      </c>
      <c r="F96">
        <v>0.2</v>
      </c>
      <c r="G96">
        <v>0.017</v>
      </c>
      <c r="H96">
        <v>0.167</v>
      </c>
      <c r="I96">
        <v>8.5</v>
      </c>
      <c r="J96">
        <v>83.5</v>
      </c>
      <c r="K96">
        <v>38.7596899224806</v>
      </c>
      <c r="L96">
        <v>3.29457364341085</v>
      </c>
      <c r="M96">
        <v>0.016</v>
      </c>
      <c r="N96">
        <v>8.00000000000001</v>
      </c>
      <c r="O96">
        <v>0.183</v>
      </c>
      <c r="P96" t="s">
        <v>659</v>
      </c>
      <c r="R96">
        <v>0</v>
      </c>
      <c r="S96">
        <v>105</v>
      </c>
      <c r="T96">
        <v>119</v>
      </c>
      <c r="U96">
        <v>110</v>
      </c>
      <c r="V96">
        <v>107</v>
      </c>
      <c r="W96">
        <v>1</v>
      </c>
      <c r="X96">
        <v>1</v>
      </c>
      <c r="Y96" t="s">
        <v>752</v>
      </c>
      <c r="Z96" t="s">
        <v>531</v>
      </c>
      <c r="AA96" t="s">
        <v>661</v>
      </c>
    </row>
    <row r="97" hidden="1" spans="1:27">
      <c r="A97" t="s">
        <v>214</v>
      </c>
      <c r="B97">
        <v>3</v>
      </c>
      <c r="C97">
        <v>11</v>
      </c>
      <c r="D97" t="s">
        <v>658</v>
      </c>
      <c r="E97">
        <v>6.449</v>
      </c>
      <c r="F97">
        <v>5.3</v>
      </c>
      <c r="G97">
        <v>0.445</v>
      </c>
      <c r="H97">
        <v>4.85</v>
      </c>
      <c r="I97">
        <v>8.39622641509434</v>
      </c>
      <c r="J97">
        <v>91.5094339622642</v>
      </c>
      <c r="K97">
        <v>82.1832842301132</v>
      </c>
      <c r="L97">
        <v>6.90029461932083</v>
      </c>
      <c r="M97">
        <v>0.00499999999999989</v>
      </c>
      <c r="N97">
        <v>0.0943396226415074</v>
      </c>
      <c r="O97">
        <v>4.855</v>
      </c>
      <c r="P97" t="s">
        <v>659</v>
      </c>
      <c r="R97">
        <v>0</v>
      </c>
      <c r="S97">
        <v>211</v>
      </c>
      <c r="T97">
        <v>225</v>
      </c>
      <c r="U97">
        <v>216</v>
      </c>
      <c r="V97">
        <v>213</v>
      </c>
      <c r="W97">
        <v>1</v>
      </c>
      <c r="X97">
        <v>1</v>
      </c>
      <c r="Y97" t="s">
        <v>753</v>
      </c>
      <c r="Z97" t="s">
        <v>526</v>
      </c>
      <c r="AA97" t="s">
        <v>661</v>
      </c>
    </row>
    <row r="98" hidden="1" spans="1:27">
      <c r="A98" t="s">
        <v>259</v>
      </c>
      <c r="B98">
        <v>1</v>
      </c>
      <c r="C98">
        <v>13</v>
      </c>
      <c r="D98" t="s">
        <v>658</v>
      </c>
      <c r="E98">
        <v>3.559</v>
      </c>
      <c r="F98">
        <v>2.9</v>
      </c>
      <c r="G98">
        <v>0.242</v>
      </c>
      <c r="H98">
        <v>2.645</v>
      </c>
      <c r="I98">
        <v>8.3448275862069</v>
      </c>
      <c r="J98">
        <v>91.2068965517241</v>
      </c>
      <c r="K98">
        <v>81.4835627985389</v>
      </c>
      <c r="L98">
        <v>6.79966282663669</v>
      </c>
      <c r="M98">
        <v>0.0129999999999999</v>
      </c>
      <c r="N98">
        <v>0.448275862068962</v>
      </c>
      <c r="O98">
        <v>2.658</v>
      </c>
      <c r="P98" t="s">
        <v>659</v>
      </c>
      <c r="R98">
        <v>0</v>
      </c>
      <c r="S98">
        <v>239</v>
      </c>
      <c r="T98">
        <v>253</v>
      </c>
      <c r="U98">
        <v>244</v>
      </c>
      <c r="V98">
        <v>241</v>
      </c>
      <c r="W98">
        <v>1</v>
      </c>
      <c r="X98">
        <v>1</v>
      </c>
      <c r="Y98" t="s">
        <v>754</v>
      </c>
      <c r="Z98" t="s">
        <v>528</v>
      </c>
      <c r="AA98" t="s">
        <v>661</v>
      </c>
    </row>
    <row r="99" hidden="1" spans="1:27">
      <c r="A99" t="s">
        <v>41</v>
      </c>
      <c r="B99">
        <v>1</v>
      </c>
      <c r="C99">
        <v>21</v>
      </c>
      <c r="D99" t="s">
        <v>658</v>
      </c>
      <c r="E99">
        <v>1.729</v>
      </c>
      <c r="F99">
        <v>0.9</v>
      </c>
      <c r="G99">
        <v>0.075</v>
      </c>
      <c r="H99">
        <v>0.79</v>
      </c>
      <c r="I99">
        <v>8.33333333333333</v>
      </c>
      <c r="J99">
        <v>87.7777777777778</v>
      </c>
      <c r="K99">
        <v>52.0532099479468</v>
      </c>
      <c r="L99">
        <v>4.33776749566223</v>
      </c>
      <c r="M99">
        <v>0.035</v>
      </c>
      <c r="N99">
        <v>3.88888888888889</v>
      </c>
      <c r="O99">
        <v>0.825</v>
      </c>
      <c r="P99" t="s">
        <v>659</v>
      </c>
      <c r="R99">
        <v>0</v>
      </c>
      <c r="S99">
        <v>371</v>
      </c>
      <c r="T99">
        <v>385</v>
      </c>
      <c r="U99">
        <v>376</v>
      </c>
      <c r="V99">
        <v>373</v>
      </c>
      <c r="W99">
        <v>1</v>
      </c>
      <c r="X99">
        <v>1</v>
      </c>
      <c r="Y99" t="s">
        <v>755</v>
      </c>
      <c r="Z99" t="s">
        <v>520</v>
      </c>
      <c r="AA99" t="s">
        <v>661</v>
      </c>
    </row>
    <row r="100" hidden="1" spans="1:27">
      <c r="A100" t="s">
        <v>457</v>
      </c>
      <c r="B100">
        <v>3</v>
      </c>
      <c r="C100">
        <v>11</v>
      </c>
      <c r="D100" t="s">
        <v>658</v>
      </c>
      <c r="E100">
        <v>1.313</v>
      </c>
      <c r="F100">
        <v>1</v>
      </c>
      <c r="G100">
        <v>0.083</v>
      </c>
      <c r="H100">
        <v>0.887</v>
      </c>
      <c r="I100">
        <v>8.3</v>
      </c>
      <c r="J100">
        <v>88.7</v>
      </c>
      <c r="K100">
        <v>76.1614623000762</v>
      </c>
      <c r="L100">
        <v>6.32140137090632</v>
      </c>
      <c r="M100">
        <v>0.03</v>
      </c>
      <c r="N100">
        <v>3</v>
      </c>
      <c r="O100">
        <v>0.917</v>
      </c>
      <c r="P100" t="s">
        <v>659</v>
      </c>
      <c r="R100">
        <v>0</v>
      </c>
      <c r="S100">
        <v>201</v>
      </c>
      <c r="T100">
        <v>215</v>
      </c>
      <c r="U100">
        <v>206</v>
      </c>
      <c r="V100">
        <v>203</v>
      </c>
      <c r="W100">
        <v>1</v>
      </c>
      <c r="X100">
        <v>1</v>
      </c>
      <c r="Y100" t="s">
        <v>756</v>
      </c>
      <c r="Z100" t="s">
        <v>537</v>
      </c>
      <c r="AA100" t="s">
        <v>661</v>
      </c>
    </row>
    <row r="101" hidden="1" spans="1:27">
      <c r="A101" t="s">
        <v>253</v>
      </c>
      <c r="B101">
        <v>1</v>
      </c>
      <c r="C101">
        <v>3</v>
      </c>
      <c r="D101" t="s">
        <v>658</v>
      </c>
      <c r="E101">
        <v>1.985</v>
      </c>
      <c r="F101">
        <v>1.7</v>
      </c>
      <c r="G101">
        <v>0.141</v>
      </c>
      <c r="H101">
        <v>1.494</v>
      </c>
      <c r="I101">
        <v>8.29411764705882</v>
      </c>
      <c r="J101">
        <v>87.8823529411765</v>
      </c>
      <c r="K101">
        <v>85.6423173803526</v>
      </c>
      <c r="L101">
        <v>7.10327455919395</v>
      </c>
      <c r="M101">
        <v>0.0649999999999999</v>
      </c>
      <c r="N101">
        <v>3.8235294117647</v>
      </c>
      <c r="O101">
        <v>1.559</v>
      </c>
      <c r="P101" t="s">
        <v>659</v>
      </c>
      <c r="R101">
        <v>0</v>
      </c>
      <c r="S101">
        <v>72</v>
      </c>
      <c r="T101">
        <v>86</v>
      </c>
      <c r="U101">
        <v>77</v>
      </c>
      <c r="V101">
        <v>74</v>
      </c>
      <c r="W101">
        <v>1</v>
      </c>
      <c r="X101">
        <v>1</v>
      </c>
      <c r="Y101" t="s">
        <v>757</v>
      </c>
      <c r="Z101" t="s">
        <v>527</v>
      </c>
      <c r="AA101" t="s">
        <v>661</v>
      </c>
    </row>
    <row r="102" hidden="1" spans="1:27">
      <c r="A102" t="s">
        <v>318</v>
      </c>
      <c r="B102">
        <v>3</v>
      </c>
      <c r="C102">
        <v>33</v>
      </c>
      <c r="D102" t="s">
        <v>658</v>
      </c>
      <c r="E102">
        <v>1.236</v>
      </c>
      <c r="F102">
        <v>0.7</v>
      </c>
      <c r="G102">
        <v>0.058</v>
      </c>
      <c r="H102">
        <v>0.601</v>
      </c>
      <c r="I102">
        <v>8.28571428571429</v>
      </c>
      <c r="J102">
        <v>85.8571428571429</v>
      </c>
      <c r="K102">
        <v>56.6343042071197</v>
      </c>
      <c r="L102">
        <v>4.69255663430421</v>
      </c>
      <c r="M102">
        <v>0.0409999999999999</v>
      </c>
      <c r="N102">
        <v>5.85714285714285</v>
      </c>
      <c r="O102">
        <v>0.642</v>
      </c>
      <c r="P102" t="s">
        <v>659</v>
      </c>
      <c r="R102">
        <v>0</v>
      </c>
      <c r="S102">
        <v>540</v>
      </c>
      <c r="T102">
        <v>554</v>
      </c>
      <c r="U102">
        <v>545</v>
      </c>
      <c r="V102">
        <v>542</v>
      </c>
      <c r="W102">
        <v>1</v>
      </c>
      <c r="X102">
        <v>1</v>
      </c>
      <c r="Y102" t="s">
        <v>742</v>
      </c>
      <c r="Z102" t="s">
        <v>531</v>
      </c>
      <c r="AA102" t="s">
        <v>661</v>
      </c>
    </row>
    <row r="103" hidden="1" spans="1:27">
      <c r="A103" t="s">
        <v>41</v>
      </c>
      <c r="B103">
        <v>1</v>
      </c>
      <c r="C103">
        <v>19</v>
      </c>
      <c r="D103" t="s">
        <v>658</v>
      </c>
      <c r="E103">
        <v>2.122</v>
      </c>
      <c r="F103">
        <v>1.6</v>
      </c>
      <c r="G103">
        <v>0.13</v>
      </c>
      <c r="H103">
        <v>1.444</v>
      </c>
      <c r="I103">
        <v>8.125</v>
      </c>
      <c r="J103">
        <v>90.25</v>
      </c>
      <c r="K103">
        <v>75.4005655042413</v>
      </c>
      <c r="L103">
        <v>6.1262959472196</v>
      </c>
      <c r="M103">
        <v>0.0260000000000002</v>
      </c>
      <c r="N103">
        <v>1.62500000000002</v>
      </c>
      <c r="O103">
        <v>1.47</v>
      </c>
      <c r="P103" t="s">
        <v>659</v>
      </c>
      <c r="R103">
        <v>0</v>
      </c>
      <c r="S103">
        <v>329</v>
      </c>
      <c r="T103">
        <v>343</v>
      </c>
      <c r="U103">
        <v>334</v>
      </c>
      <c r="V103">
        <v>331</v>
      </c>
      <c r="W103">
        <v>1</v>
      </c>
      <c r="X103">
        <v>1</v>
      </c>
      <c r="Y103" t="s">
        <v>758</v>
      </c>
      <c r="Z103" t="s">
        <v>520</v>
      </c>
      <c r="AA103" t="s">
        <v>661</v>
      </c>
    </row>
    <row r="104" hidden="1" spans="1:27">
      <c r="A104" t="s">
        <v>318</v>
      </c>
      <c r="B104">
        <v>3</v>
      </c>
      <c r="C104">
        <v>7</v>
      </c>
      <c r="D104" t="s">
        <v>739</v>
      </c>
      <c r="E104">
        <v>1.785</v>
      </c>
      <c r="F104">
        <v>0.1</v>
      </c>
      <c r="G104">
        <v>0.008</v>
      </c>
      <c r="H104">
        <v>0.064</v>
      </c>
      <c r="I104">
        <v>8</v>
      </c>
      <c r="J104">
        <v>64</v>
      </c>
      <c r="K104">
        <v>5.60224089635854</v>
      </c>
      <c r="L104">
        <v>0.448179271708684</v>
      </c>
      <c r="M104">
        <v>0.028</v>
      </c>
      <c r="N104">
        <v>28</v>
      </c>
      <c r="O104">
        <v>0.092</v>
      </c>
      <c r="P104" t="s">
        <v>659</v>
      </c>
      <c r="R104">
        <v>0</v>
      </c>
      <c r="S104">
        <v>125</v>
      </c>
      <c r="T104">
        <v>139</v>
      </c>
      <c r="U104">
        <v>130</v>
      </c>
      <c r="V104">
        <v>127</v>
      </c>
      <c r="W104">
        <v>1</v>
      </c>
      <c r="X104">
        <v>1</v>
      </c>
      <c r="Y104" t="s">
        <v>759</v>
      </c>
      <c r="Z104" t="s">
        <v>531</v>
      </c>
      <c r="AA104" t="s">
        <v>661</v>
      </c>
    </row>
    <row r="105" hidden="1" spans="1:27">
      <c r="A105" t="s">
        <v>318</v>
      </c>
      <c r="B105">
        <v>3</v>
      </c>
      <c r="C105">
        <v>41</v>
      </c>
      <c r="D105" t="s">
        <v>658</v>
      </c>
      <c r="E105">
        <v>1.226</v>
      </c>
      <c r="F105">
        <v>0.7</v>
      </c>
      <c r="G105">
        <v>0.055</v>
      </c>
      <c r="H105">
        <v>0.561</v>
      </c>
      <c r="I105">
        <v>7.85714285714286</v>
      </c>
      <c r="J105">
        <v>80.1428571428572</v>
      </c>
      <c r="K105">
        <v>57.0962479608483</v>
      </c>
      <c r="L105">
        <v>4.48613376835237</v>
      </c>
      <c r="M105">
        <v>0.0839999999999999</v>
      </c>
      <c r="N105">
        <v>12</v>
      </c>
      <c r="O105">
        <v>0.645</v>
      </c>
      <c r="P105" t="s">
        <v>659</v>
      </c>
      <c r="R105">
        <v>0</v>
      </c>
      <c r="S105">
        <v>673</v>
      </c>
      <c r="T105">
        <v>687</v>
      </c>
      <c r="U105">
        <v>678</v>
      </c>
      <c r="V105">
        <v>675</v>
      </c>
      <c r="W105">
        <v>1</v>
      </c>
      <c r="X105">
        <v>1</v>
      </c>
      <c r="Y105" t="s">
        <v>742</v>
      </c>
      <c r="Z105" t="s">
        <v>531</v>
      </c>
      <c r="AA105" t="s">
        <v>661</v>
      </c>
    </row>
    <row r="106" hidden="1" spans="1:27">
      <c r="A106" t="s">
        <v>144</v>
      </c>
      <c r="B106">
        <v>2</v>
      </c>
      <c r="C106">
        <v>14</v>
      </c>
      <c r="D106" t="s">
        <v>658</v>
      </c>
      <c r="E106">
        <v>0.576</v>
      </c>
      <c r="F106">
        <v>0.2</v>
      </c>
      <c r="G106">
        <v>0.015</v>
      </c>
      <c r="H106">
        <v>0.216</v>
      </c>
      <c r="I106">
        <v>7.5</v>
      </c>
      <c r="J106">
        <v>108</v>
      </c>
      <c r="K106">
        <v>34.7222222222222</v>
      </c>
      <c r="L106">
        <v>2.60416666666667</v>
      </c>
      <c r="M106">
        <v>-0.031</v>
      </c>
      <c r="N106">
        <v>15.5</v>
      </c>
      <c r="O106">
        <v>0.185</v>
      </c>
      <c r="P106" t="s">
        <v>659</v>
      </c>
      <c r="R106">
        <v>0</v>
      </c>
      <c r="S106">
        <v>248</v>
      </c>
      <c r="T106">
        <v>262</v>
      </c>
      <c r="U106">
        <v>253</v>
      </c>
      <c r="V106">
        <v>250</v>
      </c>
      <c r="W106">
        <v>1</v>
      </c>
      <c r="X106">
        <v>1</v>
      </c>
      <c r="Y106" t="s">
        <v>760</v>
      </c>
      <c r="Z106" t="s">
        <v>524</v>
      </c>
      <c r="AA106" t="s">
        <v>661</v>
      </c>
    </row>
    <row r="107" hidden="1" spans="1:27">
      <c r="A107" t="s">
        <v>432</v>
      </c>
      <c r="B107">
        <v>3</v>
      </c>
      <c r="C107">
        <v>12</v>
      </c>
      <c r="D107" t="s">
        <v>658</v>
      </c>
      <c r="E107">
        <v>2.687</v>
      </c>
      <c r="F107">
        <v>2.2</v>
      </c>
      <c r="G107">
        <v>0.162</v>
      </c>
      <c r="H107">
        <v>2.023</v>
      </c>
      <c r="I107">
        <v>7.36363636363636</v>
      </c>
      <c r="J107">
        <v>91.9545454545455</v>
      </c>
      <c r="K107">
        <v>81.8756978042427</v>
      </c>
      <c r="L107">
        <v>6.02902865649423</v>
      </c>
      <c r="M107">
        <v>0.0150000000000001</v>
      </c>
      <c r="N107">
        <v>0.681818181818187</v>
      </c>
      <c r="O107">
        <v>2.038</v>
      </c>
      <c r="P107" t="s">
        <v>659</v>
      </c>
      <c r="R107">
        <v>0</v>
      </c>
      <c r="S107">
        <v>220</v>
      </c>
      <c r="T107">
        <v>234</v>
      </c>
      <c r="U107">
        <v>225</v>
      </c>
      <c r="V107">
        <v>222</v>
      </c>
      <c r="W107">
        <v>1</v>
      </c>
      <c r="X107">
        <v>1</v>
      </c>
      <c r="Y107" t="s">
        <v>761</v>
      </c>
      <c r="Z107" t="s">
        <v>536</v>
      </c>
      <c r="AA107" t="s">
        <v>661</v>
      </c>
    </row>
    <row r="108" hidden="1" spans="1:27">
      <c r="A108" t="s">
        <v>303</v>
      </c>
      <c r="B108">
        <v>2</v>
      </c>
      <c r="C108">
        <v>14</v>
      </c>
      <c r="D108" t="s">
        <v>658</v>
      </c>
      <c r="E108">
        <v>2.18</v>
      </c>
      <c r="F108">
        <v>1.6</v>
      </c>
      <c r="G108">
        <v>0.115</v>
      </c>
      <c r="H108">
        <v>1.464</v>
      </c>
      <c r="I108">
        <v>7.1875</v>
      </c>
      <c r="J108">
        <v>91.5</v>
      </c>
      <c r="K108">
        <v>73.394495412844</v>
      </c>
      <c r="L108">
        <v>5.27522935779816</v>
      </c>
      <c r="M108">
        <v>0.0210000000000001</v>
      </c>
      <c r="N108">
        <v>1.31250000000001</v>
      </c>
      <c r="O108">
        <v>1.485</v>
      </c>
      <c r="P108" t="s">
        <v>659</v>
      </c>
      <c r="R108">
        <v>0</v>
      </c>
      <c r="S108">
        <v>255</v>
      </c>
      <c r="T108">
        <v>269</v>
      </c>
      <c r="U108">
        <v>260</v>
      </c>
      <c r="V108">
        <v>257</v>
      </c>
      <c r="W108">
        <v>1</v>
      </c>
      <c r="X108">
        <v>1</v>
      </c>
      <c r="Y108" t="s">
        <v>762</v>
      </c>
      <c r="Z108" t="s">
        <v>530</v>
      </c>
      <c r="AA108" t="s">
        <v>661</v>
      </c>
    </row>
    <row r="109" hidden="1" spans="1:27">
      <c r="A109" t="s">
        <v>334</v>
      </c>
      <c r="B109">
        <v>3</v>
      </c>
      <c r="C109">
        <v>17</v>
      </c>
      <c r="D109" t="s">
        <v>658</v>
      </c>
      <c r="E109">
        <v>34.608</v>
      </c>
      <c r="F109">
        <v>33.8</v>
      </c>
      <c r="G109">
        <v>2.384</v>
      </c>
      <c r="H109">
        <v>31.388</v>
      </c>
      <c r="I109">
        <v>7.05325443786982</v>
      </c>
      <c r="J109">
        <v>92.8639053254438</v>
      </c>
      <c r="K109">
        <v>97.6652797041147</v>
      </c>
      <c r="L109">
        <v>6.88858067498844</v>
      </c>
      <c r="M109">
        <v>0.0279999999999987</v>
      </c>
      <c r="N109">
        <v>0.0828402366863867</v>
      </c>
      <c r="O109">
        <v>31.416</v>
      </c>
      <c r="P109" t="s">
        <v>659</v>
      </c>
      <c r="R109">
        <v>0</v>
      </c>
      <c r="S109">
        <v>305</v>
      </c>
      <c r="T109">
        <v>319</v>
      </c>
      <c r="U109">
        <v>310</v>
      </c>
      <c r="V109">
        <v>307</v>
      </c>
      <c r="W109">
        <v>1</v>
      </c>
      <c r="X109">
        <v>1</v>
      </c>
      <c r="Y109" t="s">
        <v>763</v>
      </c>
      <c r="Z109" t="s">
        <v>532</v>
      </c>
      <c r="AA109" t="s">
        <v>661</v>
      </c>
    </row>
    <row r="110" hidden="1" spans="1:27">
      <c r="A110" t="s">
        <v>393</v>
      </c>
      <c r="B110">
        <v>3</v>
      </c>
      <c r="C110">
        <v>25</v>
      </c>
      <c r="D110" t="s">
        <v>658</v>
      </c>
      <c r="E110">
        <v>5.91</v>
      </c>
      <c r="F110">
        <v>5.4</v>
      </c>
      <c r="G110">
        <v>0.38</v>
      </c>
      <c r="H110">
        <v>5.022</v>
      </c>
      <c r="I110">
        <v>7.03703703703704</v>
      </c>
      <c r="J110">
        <v>93</v>
      </c>
      <c r="K110">
        <v>91.3705583756345</v>
      </c>
      <c r="L110">
        <v>6.42978003384095</v>
      </c>
      <c r="M110">
        <v>-0.00199999999999978</v>
      </c>
      <c r="N110">
        <v>0.037037037037033</v>
      </c>
      <c r="O110">
        <v>5.02</v>
      </c>
      <c r="P110" t="s">
        <v>659</v>
      </c>
      <c r="R110">
        <v>0</v>
      </c>
      <c r="S110">
        <v>424</v>
      </c>
      <c r="T110">
        <v>438</v>
      </c>
      <c r="U110">
        <v>429</v>
      </c>
      <c r="V110">
        <v>426</v>
      </c>
      <c r="W110">
        <v>1</v>
      </c>
      <c r="X110">
        <v>1</v>
      </c>
      <c r="Y110" t="s">
        <v>709</v>
      </c>
      <c r="Z110" t="s">
        <v>534</v>
      </c>
      <c r="AA110" t="s">
        <v>661</v>
      </c>
    </row>
    <row r="111" hidden="1" spans="1:27">
      <c r="A111" t="s">
        <v>318</v>
      </c>
      <c r="B111">
        <v>3</v>
      </c>
      <c r="C111">
        <v>46</v>
      </c>
      <c r="D111" t="s">
        <v>658</v>
      </c>
      <c r="E111">
        <v>0.779</v>
      </c>
      <c r="F111">
        <v>0.4</v>
      </c>
      <c r="G111">
        <v>0.028</v>
      </c>
      <c r="H111">
        <v>0.346</v>
      </c>
      <c r="I111">
        <v>7</v>
      </c>
      <c r="J111">
        <v>86.5</v>
      </c>
      <c r="K111">
        <v>51.3478818998716</v>
      </c>
      <c r="L111">
        <v>3.59435173299101</v>
      </c>
      <c r="M111">
        <v>0.026</v>
      </c>
      <c r="N111">
        <v>6.50000000000001</v>
      </c>
      <c r="O111">
        <v>0.372</v>
      </c>
      <c r="P111" t="s">
        <v>659</v>
      </c>
      <c r="R111">
        <v>0</v>
      </c>
      <c r="S111">
        <v>757</v>
      </c>
      <c r="T111">
        <v>771</v>
      </c>
      <c r="U111">
        <v>762</v>
      </c>
      <c r="V111">
        <v>759</v>
      </c>
      <c r="W111">
        <v>1</v>
      </c>
      <c r="X111">
        <v>1</v>
      </c>
      <c r="Y111" t="s">
        <v>732</v>
      </c>
      <c r="Z111" t="s">
        <v>531</v>
      </c>
      <c r="AA111" t="s">
        <v>661</v>
      </c>
    </row>
    <row r="112" hidden="1" spans="1:27">
      <c r="A112" t="s">
        <v>318</v>
      </c>
      <c r="B112">
        <v>3</v>
      </c>
      <c r="C112">
        <v>38</v>
      </c>
      <c r="D112" t="s">
        <v>658</v>
      </c>
      <c r="E112">
        <v>1.014</v>
      </c>
      <c r="F112">
        <v>0.5</v>
      </c>
      <c r="G112">
        <v>0.033</v>
      </c>
      <c r="H112">
        <v>0.447</v>
      </c>
      <c r="I112">
        <v>6.6</v>
      </c>
      <c r="J112">
        <v>89.4</v>
      </c>
      <c r="K112">
        <v>49.3096646942801</v>
      </c>
      <c r="L112">
        <v>3.25443786982249</v>
      </c>
      <c r="M112">
        <v>0.02</v>
      </c>
      <c r="N112">
        <v>4</v>
      </c>
      <c r="O112">
        <v>0.467</v>
      </c>
      <c r="P112" t="s">
        <v>659</v>
      </c>
      <c r="R112">
        <v>0</v>
      </c>
      <c r="S112">
        <v>624</v>
      </c>
      <c r="T112">
        <v>638</v>
      </c>
      <c r="U112">
        <v>629</v>
      </c>
      <c r="V112">
        <v>626</v>
      </c>
      <c r="W112">
        <v>1</v>
      </c>
      <c r="X112">
        <v>1</v>
      </c>
      <c r="Y112" t="s">
        <v>742</v>
      </c>
      <c r="Z112" t="s">
        <v>531</v>
      </c>
      <c r="AA112" t="s">
        <v>661</v>
      </c>
    </row>
    <row r="113" hidden="1" spans="1:27">
      <c r="A113" t="s">
        <v>393</v>
      </c>
      <c r="B113">
        <v>3</v>
      </c>
      <c r="C113">
        <v>24</v>
      </c>
      <c r="D113" t="s">
        <v>658</v>
      </c>
      <c r="E113">
        <v>8.334</v>
      </c>
      <c r="F113">
        <v>7.8</v>
      </c>
      <c r="G113">
        <v>0.514</v>
      </c>
      <c r="H113">
        <v>7.289</v>
      </c>
      <c r="I113">
        <v>6.58974358974359</v>
      </c>
      <c r="J113">
        <v>93.448717948718</v>
      </c>
      <c r="K113">
        <v>93.5925125989921</v>
      </c>
      <c r="L113">
        <v>6.16750659947204</v>
      </c>
      <c r="M113">
        <v>-0.00300000000000011</v>
      </c>
      <c r="N113">
        <v>0.0384615384615399</v>
      </c>
      <c r="O113">
        <v>7.286</v>
      </c>
      <c r="P113" t="s">
        <v>659</v>
      </c>
      <c r="R113">
        <v>0</v>
      </c>
      <c r="S113">
        <v>408</v>
      </c>
      <c r="T113">
        <v>422</v>
      </c>
      <c r="U113">
        <v>413</v>
      </c>
      <c r="V113">
        <v>410</v>
      </c>
      <c r="W113">
        <v>1</v>
      </c>
      <c r="X113">
        <v>1</v>
      </c>
      <c r="Y113" t="s">
        <v>764</v>
      </c>
      <c r="Z113" t="s">
        <v>534</v>
      </c>
      <c r="AA113" t="s">
        <v>661</v>
      </c>
    </row>
    <row r="114" hidden="1" spans="1:27">
      <c r="A114" t="s">
        <v>214</v>
      </c>
      <c r="B114">
        <v>3</v>
      </c>
      <c r="C114">
        <v>29</v>
      </c>
      <c r="D114" t="s">
        <v>658</v>
      </c>
      <c r="E114">
        <v>3.385</v>
      </c>
      <c r="F114">
        <v>2.8</v>
      </c>
      <c r="G114">
        <v>0.182</v>
      </c>
      <c r="H114">
        <v>2.536</v>
      </c>
      <c r="I114">
        <v>6.5</v>
      </c>
      <c r="J114">
        <v>90.5714285714286</v>
      </c>
      <c r="K114">
        <v>82.7178729689808</v>
      </c>
      <c r="L114">
        <v>5.37666174298375</v>
      </c>
      <c r="M114">
        <v>0.0819999999999999</v>
      </c>
      <c r="N114">
        <v>2.92857142857142</v>
      </c>
      <c r="O114">
        <v>2.618</v>
      </c>
      <c r="P114" t="s">
        <v>659</v>
      </c>
      <c r="R114">
        <v>0</v>
      </c>
      <c r="S114">
        <v>499</v>
      </c>
      <c r="T114">
        <v>513</v>
      </c>
      <c r="U114">
        <v>504</v>
      </c>
      <c r="V114">
        <v>501</v>
      </c>
      <c r="W114">
        <v>1</v>
      </c>
      <c r="X114">
        <v>1</v>
      </c>
      <c r="Y114" t="s">
        <v>765</v>
      </c>
      <c r="Z114" t="s">
        <v>526</v>
      </c>
      <c r="AA114" t="s">
        <v>661</v>
      </c>
    </row>
    <row r="115" hidden="1" spans="1:27">
      <c r="A115" t="s">
        <v>432</v>
      </c>
      <c r="B115">
        <v>3</v>
      </c>
      <c r="C115">
        <v>5</v>
      </c>
      <c r="D115" t="s">
        <v>670</v>
      </c>
      <c r="E115">
        <v>2.342</v>
      </c>
      <c r="F115">
        <v>1.4</v>
      </c>
      <c r="G115">
        <v>0.09</v>
      </c>
      <c r="H115">
        <v>1.317</v>
      </c>
      <c r="I115">
        <v>6.42857142857143</v>
      </c>
      <c r="J115">
        <v>94.0714285714286</v>
      </c>
      <c r="K115">
        <v>59.7779675491033</v>
      </c>
      <c r="L115">
        <v>3.84286934244236</v>
      </c>
      <c r="M115">
        <v>-0.00700000000000012</v>
      </c>
      <c r="N115">
        <v>0.500000000000008</v>
      </c>
      <c r="O115">
        <v>1.31</v>
      </c>
      <c r="P115" t="s">
        <v>659</v>
      </c>
      <c r="R115">
        <v>0</v>
      </c>
      <c r="S115">
        <v>105</v>
      </c>
      <c r="T115">
        <v>119</v>
      </c>
      <c r="U115">
        <v>110</v>
      </c>
      <c r="V115">
        <v>107</v>
      </c>
      <c r="W115">
        <v>1</v>
      </c>
      <c r="X115">
        <v>1</v>
      </c>
      <c r="Y115" t="s">
        <v>766</v>
      </c>
      <c r="Z115" t="s">
        <v>536</v>
      </c>
      <c r="AA115" t="s">
        <v>661</v>
      </c>
    </row>
    <row r="116" hidden="1" spans="1:27">
      <c r="A116" t="s">
        <v>457</v>
      </c>
      <c r="B116">
        <v>3</v>
      </c>
      <c r="C116">
        <v>10</v>
      </c>
      <c r="D116" t="s">
        <v>723</v>
      </c>
      <c r="E116">
        <v>1.713</v>
      </c>
      <c r="F116">
        <v>1.3</v>
      </c>
      <c r="G116">
        <v>0.082</v>
      </c>
      <c r="H116">
        <v>1.187</v>
      </c>
      <c r="I116">
        <v>6.30769230769231</v>
      </c>
      <c r="J116">
        <v>91.3076923076923</v>
      </c>
      <c r="K116">
        <v>75.8902510215995</v>
      </c>
      <c r="L116">
        <v>4.78692352597782</v>
      </c>
      <c r="M116">
        <v>0.0309999999999999</v>
      </c>
      <c r="N116">
        <v>2.38461538461538</v>
      </c>
      <c r="O116">
        <v>1.218</v>
      </c>
      <c r="P116" t="s">
        <v>659</v>
      </c>
      <c r="R116">
        <v>0</v>
      </c>
      <c r="S116">
        <v>185</v>
      </c>
      <c r="T116">
        <v>199</v>
      </c>
      <c r="U116">
        <v>190</v>
      </c>
      <c r="V116">
        <v>187</v>
      </c>
      <c r="W116">
        <v>1</v>
      </c>
      <c r="X116">
        <v>1</v>
      </c>
      <c r="Y116" t="s">
        <v>767</v>
      </c>
      <c r="Z116" t="s">
        <v>537</v>
      </c>
      <c r="AA116" t="s">
        <v>661</v>
      </c>
    </row>
    <row r="117" hidden="1" spans="1:27">
      <c r="A117" t="s">
        <v>134</v>
      </c>
      <c r="B117">
        <v>3</v>
      </c>
      <c r="C117">
        <v>8</v>
      </c>
      <c r="D117" t="s">
        <v>768</v>
      </c>
      <c r="E117">
        <v>2.694</v>
      </c>
      <c r="F117">
        <v>2.3</v>
      </c>
      <c r="G117">
        <v>0.145</v>
      </c>
      <c r="H117">
        <v>2.089</v>
      </c>
      <c r="I117">
        <v>6.30434782608696</v>
      </c>
      <c r="J117">
        <v>90.8260869565217</v>
      </c>
      <c r="K117">
        <v>85.3749072011878</v>
      </c>
      <c r="L117">
        <v>5.38233110616184</v>
      </c>
      <c r="M117">
        <v>0.0659999999999998</v>
      </c>
      <c r="N117">
        <v>2.8695652173913</v>
      </c>
      <c r="O117">
        <v>2.155</v>
      </c>
      <c r="P117" t="s">
        <v>659</v>
      </c>
      <c r="R117">
        <v>0</v>
      </c>
      <c r="S117">
        <v>159</v>
      </c>
      <c r="T117">
        <v>173</v>
      </c>
      <c r="U117">
        <v>164</v>
      </c>
      <c r="V117">
        <v>161</v>
      </c>
      <c r="W117">
        <v>1</v>
      </c>
      <c r="X117">
        <v>1</v>
      </c>
      <c r="Y117" t="s">
        <v>769</v>
      </c>
      <c r="Z117" t="s">
        <v>523</v>
      </c>
      <c r="AA117" t="s">
        <v>661</v>
      </c>
    </row>
    <row r="118" hidden="1" spans="1:27">
      <c r="A118" t="s">
        <v>318</v>
      </c>
      <c r="B118">
        <v>3</v>
      </c>
      <c r="C118">
        <v>43</v>
      </c>
      <c r="D118" t="s">
        <v>658</v>
      </c>
      <c r="E118">
        <v>0.994</v>
      </c>
      <c r="F118">
        <v>0.5</v>
      </c>
      <c r="G118">
        <v>0.031</v>
      </c>
      <c r="H118">
        <v>0.431</v>
      </c>
      <c r="I118">
        <v>6.2</v>
      </c>
      <c r="J118">
        <v>86.2</v>
      </c>
      <c r="K118">
        <v>50.3018108651911</v>
      </c>
      <c r="L118">
        <v>3.11871227364185</v>
      </c>
      <c r="M118">
        <v>0.038</v>
      </c>
      <c r="N118">
        <v>7.60000000000001</v>
      </c>
      <c r="O118">
        <v>0.469</v>
      </c>
      <c r="P118" t="s">
        <v>659</v>
      </c>
      <c r="R118">
        <v>0</v>
      </c>
      <c r="S118">
        <v>707</v>
      </c>
      <c r="T118">
        <v>721</v>
      </c>
      <c r="U118">
        <v>712</v>
      </c>
      <c r="V118">
        <v>709</v>
      </c>
      <c r="W118">
        <v>1</v>
      </c>
      <c r="X118">
        <v>1</v>
      </c>
      <c r="Y118" t="s">
        <v>742</v>
      </c>
      <c r="Z118" t="s">
        <v>531</v>
      </c>
      <c r="AA118" t="s">
        <v>661</v>
      </c>
    </row>
    <row r="119" hidden="1" spans="1:27">
      <c r="A119" t="s">
        <v>41</v>
      </c>
      <c r="B119">
        <v>1</v>
      </c>
      <c r="C119">
        <v>22</v>
      </c>
      <c r="D119" t="s">
        <v>658</v>
      </c>
      <c r="E119">
        <v>1.524</v>
      </c>
      <c r="F119">
        <v>0.9</v>
      </c>
      <c r="G119">
        <v>0.055</v>
      </c>
      <c r="H119">
        <v>0.872</v>
      </c>
      <c r="I119">
        <v>6.11111111111111</v>
      </c>
      <c r="J119">
        <v>96.8888888888889</v>
      </c>
      <c r="K119">
        <v>59.0551181102362</v>
      </c>
      <c r="L119">
        <v>3.60892388451444</v>
      </c>
      <c r="M119">
        <v>-0.027</v>
      </c>
      <c r="N119">
        <v>3</v>
      </c>
      <c r="O119">
        <v>0.845</v>
      </c>
      <c r="P119" t="s">
        <v>659</v>
      </c>
      <c r="R119">
        <v>0</v>
      </c>
      <c r="S119">
        <v>392</v>
      </c>
      <c r="T119">
        <v>406</v>
      </c>
      <c r="U119">
        <v>397</v>
      </c>
      <c r="V119">
        <v>394</v>
      </c>
      <c r="W119">
        <v>1</v>
      </c>
      <c r="X119">
        <v>1</v>
      </c>
      <c r="Y119" t="s">
        <v>770</v>
      </c>
      <c r="Z119" t="s">
        <v>520</v>
      </c>
      <c r="AA119" t="s">
        <v>661</v>
      </c>
    </row>
    <row r="120" hidden="1" spans="1:27">
      <c r="A120" t="s">
        <v>303</v>
      </c>
      <c r="B120">
        <v>2</v>
      </c>
      <c r="C120">
        <v>3</v>
      </c>
      <c r="D120" t="s">
        <v>670</v>
      </c>
      <c r="E120">
        <v>2.3</v>
      </c>
      <c r="F120">
        <v>2</v>
      </c>
      <c r="G120">
        <v>0.122</v>
      </c>
      <c r="H120">
        <v>1.856</v>
      </c>
      <c r="I120">
        <v>6.1</v>
      </c>
      <c r="J120">
        <v>92.8</v>
      </c>
      <c r="K120">
        <v>86.9565217391304</v>
      </c>
      <c r="L120">
        <v>5.30434782608696</v>
      </c>
      <c r="M120">
        <v>0.0219999999999998</v>
      </c>
      <c r="N120">
        <v>1.09999999999999</v>
      </c>
      <c r="O120">
        <v>1.878</v>
      </c>
      <c r="P120" t="s">
        <v>659</v>
      </c>
      <c r="R120">
        <v>0</v>
      </c>
      <c r="S120">
        <v>73</v>
      </c>
      <c r="T120">
        <v>87</v>
      </c>
      <c r="U120">
        <v>78</v>
      </c>
      <c r="V120">
        <v>75</v>
      </c>
      <c r="W120">
        <v>1</v>
      </c>
      <c r="X120">
        <v>1</v>
      </c>
      <c r="Y120" t="s">
        <v>687</v>
      </c>
      <c r="Z120" t="s">
        <v>530</v>
      </c>
      <c r="AA120" t="s">
        <v>661</v>
      </c>
    </row>
    <row r="121" hidden="1" spans="1:27">
      <c r="A121" t="s">
        <v>214</v>
      </c>
      <c r="B121">
        <v>3</v>
      </c>
      <c r="C121">
        <v>15</v>
      </c>
      <c r="D121" t="s">
        <v>658</v>
      </c>
      <c r="E121">
        <v>5.432</v>
      </c>
      <c r="F121">
        <v>4.4</v>
      </c>
      <c r="G121">
        <v>0.265</v>
      </c>
      <c r="H121">
        <v>4.06</v>
      </c>
      <c r="I121">
        <v>6.02272727272727</v>
      </c>
      <c r="J121">
        <v>92.2727272727273</v>
      </c>
      <c r="K121">
        <v>81.0014727540501</v>
      </c>
      <c r="L121">
        <v>4.87849779086893</v>
      </c>
      <c r="M121">
        <v>0.0750000000000011</v>
      </c>
      <c r="N121">
        <v>1.70454545454548</v>
      </c>
      <c r="O121">
        <v>4.135</v>
      </c>
      <c r="P121" t="s">
        <v>659</v>
      </c>
      <c r="R121">
        <v>0</v>
      </c>
      <c r="S121">
        <v>275</v>
      </c>
      <c r="T121">
        <v>289</v>
      </c>
      <c r="U121">
        <v>280</v>
      </c>
      <c r="V121">
        <v>277</v>
      </c>
      <c r="W121">
        <v>1</v>
      </c>
      <c r="X121">
        <v>1</v>
      </c>
      <c r="Y121" t="s">
        <v>771</v>
      </c>
      <c r="Z121" t="s">
        <v>526</v>
      </c>
      <c r="AA121" t="s">
        <v>661</v>
      </c>
    </row>
    <row r="122" hidden="1" spans="1:27">
      <c r="A122" t="s">
        <v>134</v>
      </c>
      <c r="B122">
        <v>3</v>
      </c>
      <c r="C122">
        <v>10</v>
      </c>
      <c r="D122" t="s">
        <v>658</v>
      </c>
      <c r="E122">
        <v>5.608</v>
      </c>
      <c r="F122">
        <v>3.5</v>
      </c>
      <c r="G122">
        <v>0.202</v>
      </c>
      <c r="H122">
        <v>3.303</v>
      </c>
      <c r="I122">
        <v>5.77142857142857</v>
      </c>
      <c r="J122">
        <v>94.3714285714286</v>
      </c>
      <c r="K122">
        <v>62.4108416547789</v>
      </c>
      <c r="L122">
        <v>3.60199714693295</v>
      </c>
      <c r="M122">
        <v>-0.00499999999999989</v>
      </c>
      <c r="N122">
        <v>0.14285714285714</v>
      </c>
      <c r="O122">
        <v>3.298</v>
      </c>
      <c r="P122" t="s">
        <v>659</v>
      </c>
      <c r="R122">
        <v>0</v>
      </c>
      <c r="S122">
        <v>191</v>
      </c>
      <c r="T122">
        <v>205</v>
      </c>
      <c r="U122">
        <v>196</v>
      </c>
      <c r="V122">
        <v>193</v>
      </c>
      <c r="W122">
        <v>1</v>
      </c>
      <c r="X122">
        <v>1</v>
      </c>
      <c r="Y122" t="s">
        <v>772</v>
      </c>
      <c r="Z122" t="s">
        <v>523</v>
      </c>
      <c r="AA122" t="s">
        <v>661</v>
      </c>
    </row>
    <row r="123" hidden="1" spans="1:27">
      <c r="A123" t="s">
        <v>457</v>
      </c>
      <c r="B123">
        <v>3</v>
      </c>
      <c r="C123">
        <v>6</v>
      </c>
      <c r="D123" t="s">
        <v>658</v>
      </c>
      <c r="E123">
        <v>6.136</v>
      </c>
      <c r="F123">
        <v>5.7</v>
      </c>
      <c r="G123">
        <v>0.328</v>
      </c>
      <c r="H123">
        <v>5.354</v>
      </c>
      <c r="I123">
        <v>5.75438596491228</v>
      </c>
      <c r="J123">
        <v>93.9298245614035</v>
      </c>
      <c r="K123">
        <v>92.8943937418514</v>
      </c>
      <c r="L123">
        <v>5.34550195567145</v>
      </c>
      <c r="M123">
        <v>0.0179999999999998</v>
      </c>
      <c r="N123">
        <v>0.315789473684207</v>
      </c>
      <c r="O123">
        <v>5.372</v>
      </c>
      <c r="P123" t="s">
        <v>659</v>
      </c>
      <c r="R123">
        <v>0</v>
      </c>
      <c r="S123">
        <v>121</v>
      </c>
      <c r="T123">
        <v>135</v>
      </c>
      <c r="U123">
        <v>126</v>
      </c>
      <c r="V123">
        <v>123</v>
      </c>
      <c r="W123">
        <v>1</v>
      </c>
      <c r="X123">
        <v>1</v>
      </c>
      <c r="Y123" t="s">
        <v>773</v>
      </c>
      <c r="Z123" t="s">
        <v>537</v>
      </c>
      <c r="AA123" t="s">
        <v>661</v>
      </c>
    </row>
    <row r="124" hidden="1" spans="1:27">
      <c r="A124" t="s">
        <v>457</v>
      </c>
      <c r="B124">
        <v>3</v>
      </c>
      <c r="C124">
        <v>8</v>
      </c>
      <c r="D124" t="s">
        <v>723</v>
      </c>
      <c r="E124">
        <v>8.576</v>
      </c>
      <c r="F124">
        <v>7.5</v>
      </c>
      <c r="G124">
        <v>0.424</v>
      </c>
      <c r="H124">
        <v>7.077</v>
      </c>
      <c r="I124">
        <v>5.65333333333333</v>
      </c>
      <c r="J124">
        <v>94.36</v>
      </c>
      <c r="K124">
        <v>87.4533582089552</v>
      </c>
      <c r="L124">
        <v>4.94402985074627</v>
      </c>
      <c r="M124">
        <v>-0.00100000000000033</v>
      </c>
      <c r="N124">
        <v>0.0133333333333378</v>
      </c>
      <c r="O124">
        <v>7.076</v>
      </c>
      <c r="P124" t="s">
        <v>659</v>
      </c>
      <c r="R124">
        <v>0</v>
      </c>
      <c r="S124">
        <v>153</v>
      </c>
      <c r="T124">
        <v>167</v>
      </c>
      <c r="U124">
        <v>158</v>
      </c>
      <c r="V124">
        <v>155</v>
      </c>
      <c r="W124">
        <v>1</v>
      </c>
      <c r="X124">
        <v>1</v>
      </c>
      <c r="Y124" t="s">
        <v>774</v>
      </c>
      <c r="Z124" t="s">
        <v>537</v>
      </c>
      <c r="AA124" t="s">
        <v>661</v>
      </c>
    </row>
    <row r="125" hidden="1" spans="1:27">
      <c r="A125" t="s">
        <v>214</v>
      </c>
      <c r="B125">
        <v>3</v>
      </c>
      <c r="C125">
        <v>32</v>
      </c>
      <c r="D125" t="s">
        <v>658</v>
      </c>
      <c r="E125">
        <v>4.317</v>
      </c>
      <c r="F125">
        <v>3.6</v>
      </c>
      <c r="G125">
        <v>0.203</v>
      </c>
      <c r="H125">
        <v>3.381</v>
      </c>
      <c r="I125">
        <v>5.63888888888889</v>
      </c>
      <c r="J125">
        <v>93.9166666666667</v>
      </c>
      <c r="K125">
        <v>83.3912439193885</v>
      </c>
      <c r="L125">
        <v>4.70233958767663</v>
      </c>
      <c r="M125">
        <v>0.0160000000000005</v>
      </c>
      <c r="N125">
        <v>0.444444444444457</v>
      </c>
      <c r="O125">
        <v>3.397</v>
      </c>
      <c r="P125" t="s">
        <v>659</v>
      </c>
      <c r="R125">
        <v>0</v>
      </c>
      <c r="S125">
        <v>547</v>
      </c>
      <c r="T125">
        <v>561</v>
      </c>
      <c r="U125">
        <v>552</v>
      </c>
      <c r="V125">
        <v>549</v>
      </c>
      <c r="W125">
        <v>1</v>
      </c>
      <c r="X125">
        <v>1</v>
      </c>
      <c r="Y125" t="s">
        <v>775</v>
      </c>
      <c r="Z125" t="s">
        <v>526</v>
      </c>
      <c r="AA125" t="s">
        <v>661</v>
      </c>
    </row>
    <row r="126" hidden="1" spans="1:27">
      <c r="A126" t="s">
        <v>318</v>
      </c>
      <c r="B126">
        <v>3</v>
      </c>
      <c r="C126">
        <v>31</v>
      </c>
      <c r="D126" t="s">
        <v>658</v>
      </c>
      <c r="E126">
        <v>1.043</v>
      </c>
      <c r="F126">
        <v>0.5</v>
      </c>
      <c r="G126">
        <v>0.028</v>
      </c>
      <c r="H126">
        <v>0.484</v>
      </c>
      <c r="I126">
        <v>5.6</v>
      </c>
      <c r="J126">
        <v>96.8</v>
      </c>
      <c r="K126">
        <v>47.9386385426654</v>
      </c>
      <c r="L126">
        <v>2.68456375838926</v>
      </c>
      <c r="M126">
        <v>-0.012</v>
      </c>
      <c r="N126">
        <v>2.4</v>
      </c>
      <c r="O126">
        <v>0.472</v>
      </c>
      <c r="P126" t="s">
        <v>659</v>
      </c>
      <c r="R126">
        <v>0</v>
      </c>
      <c r="S126">
        <v>507</v>
      </c>
      <c r="T126">
        <v>521</v>
      </c>
      <c r="U126">
        <v>512</v>
      </c>
      <c r="V126">
        <v>509</v>
      </c>
      <c r="W126">
        <v>1</v>
      </c>
      <c r="X126">
        <v>1</v>
      </c>
      <c r="Y126" t="s">
        <v>776</v>
      </c>
      <c r="Z126" t="s">
        <v>531</v>
      </c>
      <c r="AA126" t="s">
        <v>661</v>
      </c>
    </row>
    <row r="127" hidden="1" spans="1:27">
      <c r="A127" t="s">
        <v>318</v>
      </c>
      <c r="B127">
        <v>3</v>
      </c>
      <c r="C127">
        <v>42</v>
      </c>
      <c r="D127" t="s">
        <v>658</v>
      </c>
      <c r="E127">
        <v>1.037</v>
      </c>
      <c r="F127">
        <v>0.5</v>
      </c>
      <c r="G127">
        <v>0.028</v>
      </c>
      <c r="H127">
        <v>0.475</v>
      </c>
      <c r="I127">
        <v>5.6</v>
      </c>
      <c r="J127">
        <v>95</v>
      </c>
      <c r="K127">
        <v>48.2160077145612</v>
      </c>
      <c r="L127">
        <v>2.70009643201543</v>
      </c>
      <c r="M127">
        <v>-0.003</v>
      </c>
      <c r="N127">
        <v>0.600000000000001</v>
      </c>
      <c r="O127">
        <v>0.472</v>
      </c>
      <c r="P127" t="s">
        <v>659</v>
      </c>
      <c r="R127">
        <v>0</v>
      </c>
      <c r="S127">
        <v>690</v>
      </c>
      <c r="T127">
        <v>704</v>
      </c>
      <c r="U127">
        <v>695</v>
      </c>
      <c r="V127">
        <v>692</v>
      </c>
      <c r="W127">
        <v>1</v>
      </c>
      <c r="X127">
        <v>1</v>
      </c>
      <c r="Y127" t="s">
        <v>742</v>
      </c>
      <c r="Z127" t="s">
        <v>531</v>
      </c>
      <c r="AA127" t="s">
        <v>661</v>
      </c>
    </row>
    <row r="128" hidden="1" spans="1:27">
      <c r="A128" t="s">
        <v>318</v>
      </c>
      <c r="B128">
        <v>3</v>
      </c>
      <c r="C128">
        <v>45</v>
      </c>
      <c r="D128" t="s">
        <v>658</v>
      </c>
      <c r="E128">
        <v>1.013</v>
      </c>
      <c r="F128">
        <v>0.5</v>
      </c>
      <c r="G128">
        <v>0.027</v>
      </c>
      <c r="H128">
        <v>0.398</v>
      </c>
      <c r="I128">
        <v>5.4</v>
      </c>
      <c r="J128">
        <v>79.6</v>
      </c>
      <c r="K128">
        <v>49.3583415597236</v>
      </c>
      <c r="L128">
        <v>2.66535044422507</v>
      </c>
      <c r="M128">
        <v>0.075</v>
      </c>
      <c r="N128">
        <v>15</v>
      </c>
      <c r="O128">
        <v>0.473</v>
      </c>
      <c r="P128" t="s">
        <v>659</v>
      </c>
      <c r="R128">
        <v>0</v>
      </c>
      <c r="S128">
        <v>740</v>
      </c>
      <c r="T128">
        <v>754</v>
      </c>
      <c r="U128">
        <v>745</v>
      </c>
      <c r="V128">
        <v>742</v>
      </c>
      <c r="W128">
        <v>1</v>
      </c>
      <c r="X128">
        <v>1</v>
      </c>
      <c r="Y128" t="s">
        <v>776</v>
      </c>
      <c r="Z128" t="s">
        <v>531</v>
      </c>
      <c r="AA128" t="s">
        <v>661</v>
      </c>
    </row>
    <row r="129" hidden="1" spans="1:27">
      <c r="A129" t="s">
        <v>318</v>
      </c>
      <c r="B129">
        <v>3</v>
      </c>
      <c r="C129">
        <v>44</v>
      </c>
      <c r="D129" t="s">
        <v>658</v>
      </c>
      <c r="E129">
        <v>1.08</v>
      </c>
      <c r="F129">
        <v>0.5</v>
      </c>
      <c r="G129">
        <v>0.026</v>
      </c>
      <c r="H129">
        <v>0.481</v>
      </c>
      <c r="I129">
        <v>5.2</v>
      </c>
      <c r="J129">
        <v>96.2</v>
      </c>
      <c r="K129">
        <v>46.2962962962963</v>
      </c>
      <c r="L129">
        <v>2.40740740740741</v>
      </c>
      <c r="M129">
        <v>-0.00700000000000001</v>
      </c>
      <c r="N129">
        <v>1.4</v>
      </c>
      <c r="O129">
        <v>0.474</v>
      </c>
      <c r="P129" t="s">
        <v>659</v>
      </c>
      <c r="R129">
        <v>0</v>
      </c>
      <c r="S129">
        <v>723</v>
      </c>
      <c r="T129">
        <v>737</v>
      </c>
      <c r="U129">
        <v>728</v>
      </c>
      <c r="V129">
        <v>725</v>
      </c>
      <c r="W129">
        <v>1</v>
      </c>
      <c r="X129">
        <v>1</v>
      </c>
      <c r="Y129" t="s">
        <v>742</v>
      </c>
      <c r="Z129" t="s">
        <v>531</v>
      </c>
      <c r="AA129" t="s">
        <v>661</v>
      </c>
    </row>
    <row r="130" hidden="1" spans="1:27">
      <c r="A130" t="s">
        <v>318</v>
      </c>
      <c r="B130">
        <v>3</v>
      </c>
      <c r="C130">
        <v>32</v>
      </c>
      <c r="D130" t="s">
        <v>658</v>
      </c>
      <c r="E130">
        <v>1.164</v>
      </c>
      <c r="F130">
        <v>0.7</v>
      </c>
      <c r="G130">
        <v>0.035</v>
      </c>
      <c r="H130">
        <v>0.586</v>
      </c>
      <c r="I130">
        <v>5</v>
      </c>
      <c r="J130">
        <v>83.7142857142857</v>
      </c>
      <c r="K130">
        <v>60.1374570446735</v>
      </c>
      <c r="L130">
        <v>3.00687285223368</v>
      </c>
      <c r="M130">
        <v>0.079</v>
      </c>
      <c r="N130">
        <v>11.2857142857143</v>
      </c>
      <c r="O130">
        <v>0.665</v>
      </c>
      <c r="P130" t="s">
        <v>659</v>
      </c>
      <c r="R130">
        <v>0</v>
      </c>
      <c r="S130">
        <v>524</v>
      </c>
      <c r="T130">
        <v>538</v>
      </c>
      <c r="U130">
        <v>529</v>
      </c>
      <c r="V130">
        <v>526</v>
      </c>
      <c r="W130">
        <v>1</v>
      </c>
      <c r="X130">
        <v>1</v>
      </c>
      <c r="Y130" t="s">
        <v>777</v>
      </c>
      <c r="Z130" t="s">
        <v>531</v>
      </c>
      <c r="AA130" t="s">
        <v>661</v>
      </c>
    </row>
    <row r="131" hidden="1" spans="1:27">
      <c r="A131" t="s">
        <v>318</v>
      </c>
      <c r="B131">
        <v>3</v>
      </c>
      <c r="C131">
        <v>26</v>
      </c>
      <c r="D131" t="s">
        <v>658</v>
      </c>
      <c r="E131">
        <v>1.27</v>
      </c>
      <c r="F131">
        <v>0.8</v>
      </c>
      <c r="G131">
        <v>0.04</v>
      </c>
      <c r="H131">
        <v>0.724</v>
      </c>
      <c r="I131">
        <v>5</v>
      </c>
      <c r="J131">
        <v>90.5</v>
      </c>
      <c r="K131">
        <v>62.992125984252</v>
      </c>
      <c r="L131">
        <v>3.1496062992126</v>
      </c>
      <c r="M131">
        <v>0.036</v>
      </c>
      <c r="N131">
        <v>4.5</v>
      </c>
      <c r="O131">
        <v>0.76</v>
      </c>
      <c r="P131" t="s">
        <v>659</v>
      </c>
      <c r="R131">
        <v>0</v>
      </c>
      <c r="S131">
        <v>424</v>
      </c>
      <c r="T131">
        <v>438</v>
      </c>
      <c r="U131">
        <v>429</v>
      </c>
      <c r="V131">
        <v>426</v>
      </c>
      <c r="W131">
        <v>1</v>
      </c>
      <c r="X131">
        <v>1</v>
      </c>
      <c r="Y131" t="s">
        <v>732</v>
      </c>
      <c r="Z131" t="s">
        <v>531</v>
      </c>
      <c r="AA131" t="s">
        <v>661</v>
      </c>
    </row>
    <row r="132" hidden="1" spans="1:27">
      <c r="A132" t="s">
        <v>432</v>
      </c>
      <c r="B132">
        <v>3</v>
      </c>
      <c r="C132">
        <v>10</v>
      </c>
      <c r="D132" t="s">
        <v>658</v>
      </c>
      <c r="E132">
        <v>4.561</v>
      </c>
      <c r="F132">
        <v>3.9</v>
      </c>
      <c r="G132">
        <v>0.194</v>
      </c>
      <c r="H132">
        <v>3.642</v>
      </c>
      <c r="I132">
        <v>4.97435897435897</v>
      </c>
      <c r="J132">
        <v>93.3846153846154</v>
      </c>
      <c r="K132">
        <v>85.5075641306731</v>
      </c>
      <c r="L132">
        <v>4.25345319008989</v>
      </c>
      <c r="M132">
        <v>0.0640000000000001</v>
      </c>
      <c r="N132">
        <v>1.64102564102564</v>
      </c>
      <c r="O132">
        <v>3.706</v>
      </c>
      <c r="P132" t="s">
        <v>659</v>
      </c>
      <c r="R132">
        <v>0</v>
      </c>
      <c r="S132">
        <v>186</v>
      </c>
      <c r="T132">
        <v>200</v>
      </c>
      <c r="U132">
        <v>191</v>
      </c>
      <c r="V132">
        <v>188</v>
      </c>
      <c r="W132">
        <v>1</v>
      </c>
      <c r="X132">
        <v>1</v>
      </c>
      <c r="Y132" t="s">
        <v>778</v>
      </c>
      <c r="Z132" t="s">
        <v>536</v>
      </c>
      <c r="AA132" t="s">
        <v>661</v>
      </c>
    </row>
    <row r="133" hidden="1" spans="1:27">
      <c r="A133" t="s">
        <v>214</v>
      </c>
      <c r="B133">
        <v>3</v>
      </c>
      <c r="C133">
        <v>16</v>
      </c>
      <c r="D133" t="s">
        <v>658</v>
      </c>
      <c r="E133">
        <v>5.497</v>
      </c>
      <c r="F133">
        <v>4.9</v>
      </c>
      <c r="G133">
        <v>0.243</v>
      </c>
      <c r="H133">
        <v>4.628</v>
      </c>
      <c r="I133">
        <v>4.95918367346939</v>
      </c>
      <c r="J133">
        <v>94.4489795918367</v>
      </c>
      <c r="K133">
        <v>89.1395306530835</v>
      </c>
      <c r="L133">
        <v>4.42059305075496</v>
      </c>
      <c r="M133">
        <v>0.0289999999999999</v>
      </c>
      <c r="N133">
        <v>0.591836734693876</v>
      </c>
      <c r="O133">
        <v>4.657</v>
      </c>
      <c r="P133" t="s">
        <v>659</v>
      </c>
      <c r="R133">
        <v>0</v>
      </c>
      <c r="S133">
        <v>291</v>
      </c>
      <c r="T133">
        <v>305</v>
      </c>
      <c r="U133">
        <v>296</v>
      </c>
      <c r="V133">
        <v>293</v>
      </c>
      <c r="W133">
        <v>1</v>
      </c>
      <c r="X133">
        <v>1</v>
      </c>
      <c r="Y133" t="s">
        <v>779</v>
      </c>
      <c r="Z133" t="s">
        <v>526</v>
      </c>
      <c r="AA133" t="s">
        <v>661</v>
      </c>
    </row>
    <row r="134" hidden="1" spans="1:27">
      <c r="A134" t="s">
        <v>457</v>
      </c>
      <c r="B134">
        <v>3</v>
      </c>
      <c r="C134">
        <v>13</v>
      </c>
      <c r="D134" t="s">
        <v>658</v>
      </c>
      <c r="E134">
        <v>2.759</v>
      </c>
      <c r="F134">
        <v>2.3</v>
      </c>
      <c r="G134">
        <v>0.114</v>
      </c>
      <c r="H134">
        <v>2.165</v>
      </c>
      <c r="I134">
        <v>4.95652173913044</v>
      </c>
      <c r="J134">
        <v>94.1304347826087</v>
      </c>
      <c r="K134">
        <v>83.3635375135919</v>
      </c>
      <c r="L134">
        <v>4.13193185936934</v>
      </c>
      <c r="M134">
        <v>0.0209999999999999</v>
      </c>
      <c r="N134">
        <v>0.913043478260866</v>
      </c>
      <c r="O134">
        <v>2.186</v>
      </c>
      <c r="P134" t="s">
        <v>659</v>
      </c>
      <c r="R134">
        <v>0</v>
      </c>
      <c r="S134">
        <v>233</v>
      </c>
      <c r="T134">
        <v>247</v>
      </c>
      <c r="U134">
        <v>238</v>
      </c>
      <c r="V134">
        <v>235</v>
      </c>
      <c r="W134">
        <v>1</v>
      </c>
      <c r="X134">
        <v>1</v>
      </c>
      <c r="Y134" t="s">
        <v>780</v>
      </c>
      <c r="Z134" t="s">
        <v>537</v>
      </c>
      <c r="AA134" t="s">
        <v>661</v>
      </c>
    </row>
    <row r="135" hidden="1" spans="1:27">
      <c r="A135" t="s">
        <v>318</v>
      </c>
      <c r="B135">
        <v>3</v>
      </c>
      <c r="C135">
        <v>36</v>
      </c>
      <c r="D135" t="s">
        <v>658</v>
      </c>
      <c r="E135">
        <v>1.01</v>
      </c>
      <c r="F135">
        <v>0.6</v>
      </c>
      <c r="G135">
        <v>0.029</v>
      </c>
      <c r="H135">
        <v>0.513</v>
      </c>
      <c r="I135">
        <v>4.83333333333333</v>
      </c>
      <c r="J135">
        <v>85.5</v>
      </c>
      <c r="K135">
        <v>59.4059405940594</v>
      </c>
      <c r="L135">
        <v>2.87128712871287</v>
      </c>
      <c r="M135">
        <v>0.0579999999999999</v>
      </c>
      <c r="N135">
        <v>9.66666666666666</v>
      </c>
      <c r="O135">
        <v>0.571</v>
      </c>
      <c r="P135" t="s">
        <v>659</v>
      </c>
      <c r="R135">
        <v>0</v>
      </c>
      <c r="S135">
        <v>590</v>
      </c>
      <c r="T135">
        <v>604</v>
      </c>
      <c r="U135">
        <v>595</v>
      </c>
      <c r="V135">
        <v>592</v>
      </c>
      <c r="W135">
        <v>1</v>
      </c>
      <c r="X135">
        <v>1</v>
      </c>
      <c r="Y135" t="s">
        <v>742</v>
      </c>
      <c r="Z135" t="s">
        <v>531</v>
      </c>
      <c r="AA135" t="s">
        <v>661</v>
      </c>
    </row>
    <row r="136" hidden="1" spans="1:27">
      <c r="A136" t="s">
        <v>432</v>
      </c>
      <c r="B136">
        <v>3</v>
      </c>
      <c r="C136">
        <v>21</v>
      </c>
      <c r="D136" t="s">
        <v>658</v>
      </c>
      <c r="E136">
        <v>2.182</v>
      </c>
      <c r="F136">
        <v>1.8</v>
      </c>
      <c r="G136">
        <v>0.086</v>
      </c>
      <c r="H136">
        <v>1.69</v>
      </c>
      <c r="I136">
        <v>4.77777777777778</v>
      </c>
      <c r="J136">
        <v>93.8888888888889</v>
      </c>
      <c r="K136">
        <v>82.4931255728689</v>
      </c>
      <c r="L136">
        <v>3.94133822181485</v>
      </c>
      <c r="M136">
        <v>0.024</v>
      </c>
      <c r="N136">
        <v>1.33333333333333</v>
      </c>
      <c r="O136">
        <v>1.714</v>
      </c>
      <c r="P136" t="s">
        <v>659</v>
      </c>
      <c r="R136">
        <v>0</v>
      </c>
      <c r="S136">
        <v>380</v>
      </c>
      <c r="T136">
        <v>394</v>
      </c>
      <c r="U136">
        <v>385</v>
      </c>
      <c r="V136">
        <v>382</v>
      </c>
      <c r="W136">
        <v>1</v>
      </c>
      <c r="X136">
        <v>1</v>
      </c>
      <c r="Y136" t="s">
        <v>781</v>
      </c>
      <c r="Z136" t="s">
        <v>536</v>
      </c>
      <c r="AA136" t="s">
        <v>661</v>
      </c>
    </row>
    <row r="137" hidden="1" spans="1:27">
      <c r="A137" t="s">
        <v>318</v>
      </c>
      <c r="B137">
        <v>3</v>
      </c>
      <c r="C137">
        <v>28</v>
      </c>
      <c r="D137" t="s">
        <v>658</v>
      </c>
      <c r="E137">
        <v>1.213</v>
      </c>
      <c r="F137">
        <v>0.6</v>
      </c>
      <c r="G137">
        <v>0.028</v>
      </c>
      <c r="H137">
        <v>0.469</v>
      </c>
      <c r="I137">
        <v>4.66666666666667</v>
      </c>
      <c r="J137">
        <v>78.1666666666667</v>
      </c>
      <c r="K137">
        <v>49.4641384995878</v>
      </c>
      <c r="L137">
        <v>2.3083264633141</v>
      </c>
      <c r="M137">
        <v>0.103</v>
      </c>
      <c r="N137">
        <v>17.1666666666667</v>
      </c>
      <c r="O137">
        <v>0.572</v>
      </c>
      <c r="P137" t="s">
        <v>659</v>
      </c>
      <c r="R137">
        <v>0</v>
      </c>
      <c r="S137">
        <v>457</v>
      </c>
      <c r="T137">
        <v>471</v>
      </c>
      <c r="U137">
        <v>462</v>
      </c>
      <c r="V137">
        <v>459</v>
      </c>
      <c r="W137">
        <v>1</v>
      </c>
      <c r="X137">
        <v>1</v>
      </c>
      <c r="Y137" t="s">
        <v>777</v>
      </c>
      <c r="Z137" t="s">
        <v>531</v>
      </c>
      <c r="AA137" t="s">
        <v>661</v>
      </c>
    </row>
    <row r="138" hidden="1" spans="1:27">
      <c r="A138" t="s">
        <v>432</v>
      </c>
      <c r="B138">
        <v>3</v>
      </c>
      <c r="C138">
        <v>17</v>
      </c>
      <c r="D138" t="s">
        <v>658</v>
      </c>
      <c r="E138">
        <v>2.572</v>
      </c>
      <c r="F138">
        <v>1.7</v>
      </c>
      <c r="G138">
        <v>0.076</v>
      </c>
      <c r="H138">
        <v>1.577</v>
      </c>
      <c r="I138">
        <v>4.47058823529412</v>
      </c>
      <c r="J138">
        <v>92.7647058823529</v>
      </c>
      <c r="K138">
        <v>66.0964230171073</v>
      </c>
      <c r="L138">
        <v>2.95489891135303</v>
      </c>
      <c r="M138">
        <v>0.0469999999999999</v>
      </c>
      <c r="N138">
        <v>2.76470588235294</v>
      </c>
      <c r="O138">
        <v>1.624</v>
      </c>
      <c r="P138" t="s">
        <v>659</v>
      </c>
      <c r="R138">
        <v>0</v>
      </c>
      <c r="S138">
        <v>309</v>
      </c>
      <c r="T138">
        <v>323</v>
      </c>
      <c r="U138">
        <v>314</v>
      </c>
      <c r="V138">
        <v>311</v>
      </c>
      <c r="W138">
        <v>1</v>
      </c>
      <c r="X138">
        <v>1</v>
      </c>
      <c r="Y138" t="s">
        <v>782</v>
      </c>
      <c r="Z138" t="s">
        <v>536</v>
      </c>
      <c r="AA138" t="s">
        <v>661</v>
      </c>
    </row>
    <row r="139" hidden="1" spans="1:27">
      <c r="A139" t="s">
        <v>318</v>
      </c>
      <c r="B139">
        <v>3</v>
      </c>
      <c r="C139">
        <v>40</v>
      </c>
      <c r="D139" t="s">
        <v>658</v>
      </c>
      <c r="E139">
        <v>1.042</v>
      </c>
      <c r="F139">
        <v>0.6</v>
      </c>
      <c r="G139">
        <v>0.026</v>
      </c>
      <c r="H139">
        <v>0.51</v>
      </c>
      <c r="I139">
        <v>4.33333333333333</v>
      </c>
      <c r="J139">
        <v>85</v>
      </c>
      <c r="K139">
        <v>57.5815738963532</v>
      </c>
      <c r="L139">
        <v>2.49520153550864</v>
      </c>
      <c r="M139">
        <v>0.0639999999999999</v>
      </c>
      <c r="N139">
        <v>10.6666666666667</v>
      </c>
      <c r="O139">
        <v>0.574</v>
      </c>
      <c r="P139" t="s">
        <v>659</v>
      </c>
      <c r="R139">
        <v>0</v>
      </c>
      <c r="S139">
        <v>657</v>
      </c>
      <c r="T139">
        <v>671</v>
      </c>
      <c r="U139">
        <v>662</v>
      </c>
      <c r="V139">
        <v>659</v>
      </c>
      <c r="W139">
        <v>1</v>
      </c>
      <c r="X139">
        <v>1</v>
      </c>
      <c r="Y139" t="s">
        <v>742</v>
      </c>
      <c r="Z139" t="s">
        <v>531</v>
      </c>
      <c r="AA139" t="s">
        <v>661</v>
      </c>
    </row>
    <row r="140" hidden="1" spans="1:27">
      <c r="A140" t="s">
        <v>432</v>
      </c>
      <c r="B140">
        <v>3</v>
      </c>
      <c r="C140">
        <v>2</v>
      </c>
      <c r="D140" t="s">
        <v>658</v>
      </c>
      <c r="E140">
        <v>1.113</v>
      </c>
      <c r="F140">
        <v>0.9</v>
      </c>
      <c r="G140">
        <v>0.039</v>
      </c>
      <c r="H140">
        <v>0.812</v>
      </c>
      <c r="I140">
        <v>4.33333333333333</v>
      </c>
      <c r="J140">
        <v>90.2222222222222</v>
      </c>
      <c r="K140">
        <v>80.8625336927224</v>
      </c>
      <c r="L140">
        <v>3.50404312668464</v>
      </c>
      <c r="M140">
        <v>0.0489999999999999</v>
      </c>
      <c r="N140">
        <v>5.44444444444444</v>
      </c>
      <c r="O140">
        <v>0.861</v>
      </c>
      <c r="P140" t="s">
        <v>659</v>
      </c>
      <c r="R140">
        <v>0</v>
      </c>
      <c r="S140">
        <v>57</v>
      </c>
      <c r="T140">
        <v>71</v>
      </c>
      <c r="U140">
        <v>62</v>
      </c>
      <c r="V140">
        <v>59</v>
      </c>
      <c r="W140">
        <v>1</v>
      </c>
      <c r="X140">
        <v>1</v>
      </c>
      <c r="Y140" t="s">
        <v>783</v>
      </c>
      <c r="Z140" t="s">
        <v>536</v>
      </c>
      <c r="AA140" t="s">
        <v>661</v>
      </c>
    </row>
    <row r="141" hidden="1" spans="1:27">
      <c r="A141" t="s">
        <v>432</v>
      </c>
      <c r="B141">
        <v>3</v>
      </c>
      <c r="C141">
        <v>11</v>
      </c>
      <c r="D141" t="s">
        <v>658</v>
      </c>
      <c r="E141">
        <v>7.262</v>
      </c>
      <c r="F141">
        <v>4.9</v>
      </c>
      <c r="G141">
        <v>0.212</v>
      </c>
      <c r="H141">
        <v>4.608</v>
      </c>
      <c r="I141">
        <v>4.3265306122449</v>
      </c>
      <c r="J141">
        <v>94.0408163265306</v>
      </c>
      <c r="K141">
        <v>67.4745249242633</v>
      </c>
      <c r="L141">
        <v>2.91930597631506</v>
      </c>
      <c r="M141">
        <v>0.080000000000001</v>
      </c>
      <c r="N141">
        <v>1.63265306122451</v>
      </c>
      <c r="O141">
        <v>4.688</v>
      </c>
      <c r="P141" t="s">
        <v>659</v>
      </c>
      <c r="R141">
        <v>0</v>
      </c>
      <c r="S141">
        <v>203</v>
      </c>
      <c r="T141">
        <v>217</v>
      </c>
      <c r="U141">
        <v>208</v>
      </c>
      <c r="V141">
        <v>205</v>
      </c>
      <c r="W141">
        <v>1</v>
      </c>
      <c r="X141">
        <v>1</v>
      </c>
      <c r="Y141" t="s">
        <v>784</v>
      </c>
      <c r="Z141" t="s">
        <v>536</v>
      </c>
      <c r="AA141" t="s">
        <v>661</v>
      </c>
    </row>
    <row r="142" hidden="1" spans="1:27">
      <c r="A142" t="s">
        <v>134</v>
      </c>
      <c r="B142">
        <v>3</v>
      </c>
      <c r="C142">
        <v>13</v>
      </c>
      <c r="D142" t="s">
        <v>658</v>
      </c>
      <c r="E142">
        <v>5.354</v>
      </c>
      <c r="F142">
        <v>4</v>
      </c>
      <c r="G142">
        <v>0.173</v>
      </c>
      <c r="H142">
        <v>3.782</v>
      </c>
      <c r="I142">
        <v>4.325</v>
      </c>
      <c r="J142">
        <v>94.55</v>
      </c>
      <c r="K142">
        <v>74.7104968248039</v>
      </c>
      <c r="L142">
        <v>3.23122898767277</v>
      </c>
      <c r="M142">
        <v>0.0449999999999999</v>
      </c>
      <c r="N142">
        <v>1.125</v>
      </c>
      <c r="O142">
        <v>3.827</v>
      </c>
      <c r="P142" t="s">
        <v>659</v>
      </c>
      <c r="R142">
        <v>0</v>
      </c>
      <c r="S142">
        <v>239</v>
      </c>
      <c r="T142">
        <v>253</v>
      </c>
      <c r="U142">
        <v>244</v>
      </c>
      <c r="V142">
        <v>241</v>
      </c>
      <c r="W142">
        <v>1</v>
      </c>
      <c r="X142">
        <v>1</v>
      </c>
      <c r="Y142" t="s">
        <v>785</v>
      </c>
      <c r="Z142" t="s">
        <v>523</v>
      </c>
      <c r="AA142" t="s">
        <v>661</v>
      </c>
    </row>
    <row r="143" hidden="1" spans="1:27">
      <c r="A143" t="s">
        <v>432</v>
      </c>
      <c r="B143">
        <v>3</v>
      </c>
      <c r="C143">
        <v>8</v>
      </c>
      <c r="D143" t="s">
        <v>658</v>
      </c>
      <c r="E143">
        <v>4.43</v>
      </c>
      <c r="F143">
        <v>4.1</v>
      </c>
      <c r="G143">
        <v>0.176</v>
      </c>
      <c r="H143">
        <v>3.883</v>
      </c>
      <c r="I143">
        <v>4.29268292682927</v>
      </c>
      <c r="J143">
        <v>94.7073170731707</v>
      </c>
      <c r="K143">
        <v>92.5507900677201</v>
      </c>
      <c r="L143">
        <v>3.97291196388262</v>
      </c>
      <c r="M143">
        <v>0.0409999999999995</v>
      </c>
      <c r="N143">
        <v>0.999999999999987</v>
      </c>
      <c r="O143">
        <v>3.924</v>
      </c>
      <c r="P143" t="s">
        <v>659</v>
      </c>
      <c r="R143">
        <v>0</v>
      </c>
      <c r="S143">
        <v>153</v>
      </c>
      <c r="T143">
        <v>167</v>
      </c>
      <c r="U143">
        <v>158</v>
      </c>
      <c r="V143">
        <v>155</v>
      </c>
      <c r="W143">
        <v>1</v>
      </c>
      <c r="X143">
        <v>1</v>
      </c>
      <c r="Y143" t="s">
        <v>786</v>
      </c>
      <c r="Z143" t="s">
        <v>536</v>
      </c>
      <c r="AA143" t="s">
        <v>661</v>
      </c>
    </row>
    <row r="144" hidden="1" spans="1:27">
      <c r="A144" t="s">
        <v>318</v>
      </c>
      <c r="B144">
        <v>3</v>
      </c>
      <c r="C144">
        <v>39</v>
      </c>
      <c r="D144" t="s">
        <v>658</v>
      </c>
      <c r="E144">
        <v>1.144</v>
      </c>
      <c r="F144">
        <v>0.7</v>
      </c>
      <c r="G144">
        <v>0.03</v>
      </c>
      <c r="H144">
        <v>0.601</v>
      </c>
      <c r="I144">
        <v>4.28571428571429</v>
      </c>
      <c r="J144">
        <v>85.8571428571429</v>
      </c>
      <c r="K144">
        <v>61.1888111888112</v>
      </c>
      <c r="L144">
        <v>2.62237762237762</v>
      </c>
      <c r="M144">
        <v>0.0689999999999999</v>
      </c>
      <c r="N144">
        <v>9.85714285714285</v>
      </c>
      <c r="O144">
        <v>0.67</v>
      </c>
      <c r="P144" t="s">
        <v>659</v>
      </c>
      <c r="R144">
        <v>0</v>
      </c>
      <c r="S144">
        <v>640</v>
      </c>
      <c r="T144">
        <v>654</v>
      </c>
      <c r="U144">
        <v>645</v>
      </c>
      <c r="V144">
        <v>642</v>
      </c>
      <c r="W144">
        <v>1</v>
      </c>
      <c r="X144">
        <v>1</v>
      </c>
      <c r="Y144" t="s">
        <v>742</v>
      </c>
      <c r="Z144" t="s">
        <v>531</v>
      </c>
      <c r="AA144" t="s">
        <v>661</v>
      </c>
    </row>
    <row r="145" hidden="1" spans="1:27">
      <c r="A145" t="s">
        <v>432</v>
      </c>
      <c r="B145">
        <v>3</v>
      </c>
      <c r="C145">
        <v>13</v>
      </c>
      <c r="D145" t="s">
        <v>658</v>
      </c>
      <c r="E145">
        <v>3.238</v>
      </c>
      <c r="F145">
        <v>1.8</v>
      </c>
      <c r="G145">
        <v>0.076</v>
      </c>
      <c r="H145">
        <v>1.623</v>
      </c>
      <c r="I145">
        <v>4.22222222222222</v>
      </c>
      <c r="J145">
        <v>90.1666666666667</v>
      </c>
      <c r="K145">
        <v>55.5898702903027</v>
      </c>
      <c r="L145">
        <v>2.34712785670167</v>
      </c>
      <c r="M145">
        <v>0.101</v>
      </c>
      <c r="N145">
        <v>5.61111111111111</v>
      </c>
      <c r="O145">
        <v>1.724</v>
      </c>
      <c r="P145" t="s">
        <v>659</v>
      </c>
      <c r="R145">
        <v>0</v>
      </c>
      <c r="S145">
        <v>238</v>
      </c>
      <c r="T145">
        <v>252</v>
      </c>
      <c r="U145">
        <v>243</v>
      </c>
      <c r="V145">
        <v>240</v>
      </c>
      <c r="W145">
        <v>1</v>
      </c>
      <c r="X145">
        <v>1</v>
      </c>
      <c r="Y145" t="s">
        <v>787</v>
      </c>
      <c r="Z145" t="s">
        <v>536</v>
      </c>
      <c r="AA145" t="s">
        <v>661</v>
      </c>
    </row>
    <row r="146" hidden="1" spans="1:27">
      <c r="A146" t="s">
        <v>457</v>
      </c>
      <c r="B146">
        <v>3</v>
      </c>
      <c r="C146">
        <v>12</v>
      </c>
      <c r="D146" t="s">
        <v>658</v>
      </c>
      <c r="E146">
        <v>1.267</v>
      </c>
      <c r="F146">
        <v>0.9</v>
      </c>
      <c r="G146">
        <v>0.038</v>
      </c>
      <c r="H146">
        <v>0.841</v>
      </c>
      <c r="I146">
        <v>4.22222222222222</v>
      </c>
      <c r="J146">
        <v>93.4444444444444</v>
      </c>
      <c r="K146">
        <v>71.0339384372534</v>
      </c>
      <c r="L146">
        <v>2.99921073401736</v>
      </c>
      <c r="M146">
        <v>0.021</v>
      </c>
      <c r="N146">
        <v>2.33333333333334</v>
      </c>
      <c r="O146">
        <v>0.862</v>
      </c>
      <c r="P146" t="s">
        <v>659</v>
      </c>
      <c r="R146">
        <v>0</v>
      </c>
      <c r="S146">
        <v>217</v>
      </c>
      <c r="T146">
        <v>231</v>
      </c>
      <c r="U146">
        <v>222</v>
      </c>
      <c r="V146">
        <v>219</v>
      </c>
      <c r="W146">
        <v>1</v>
      </c>
      <c r="X146">
        <v>1</v>
      </c>
      <c r="Y146" t="s">
        <v>788</v>
      </c>
      <c r="Z146" t="s">
        <v>537</v>
      </c>
      <c r="AA146" t="s">
        <v>661</v>
      </c>
    </row>
    <row r="147" hidden="1" spans="1:27">
      <c r="A147" t="s">
        <v>259</v>
      </c>
      <c r="B147">
        <v>1</v>
      </c>
      <c r="C147">
        <v>27</v>
      </c>
      <c r="D147" t="s">
        <v>658</v>
      </c>
      <c r="E147">
        <v>1.389</v>
      </c>
      <c r="F147">
        <v>0.5</v>
      </c>
      <c r="G147">
        <v>0.02</v>
      </c>
      <c r="H147">
        <v>0.394</v>
      </c>
      <c r="I147">
        <v>4</v>
      </c>
      <c r="J147">
        <v>78.8</v>
      </c>
      <c r="K147">
        <v>35.9971202303816</v>
      </c>
      <c r="L147">
        <v>1.43988480921526</v>
      </c>
      <c r="M147">
        <v>0.086</v>
      </c>
      <c r="N147">
        <v>17.2</v>
      </c>
      <c r="O147">
        <v>0.48</v>
      </c>
      <c r="P147" t="s">
        <v>659</v>
      </c>
      <c r="R147">
        <v>0</v>
      </c>
      <c r="S147">
        <v>475</v>
      </c>
      <c r="T147">
        <v>489</v>
      </c>
      <c r="U147">
        <v>480</v>
      </c>
      <c r="V147">
        <v>477</v>
      </c>
      <c r="W147">
        <v>1</v>
      </c>
      <c r="X147">
        <v>1</v>
      </c>
      <c r="Y147" t="s">
        <v>789</v>
      </c>
      <c r="Z147" t="s">
        <v>528</v>
      </c>
      <c r="AA147" t="s">
        <v>661</v>
      </c>
    </row>
    <row r="148" hidden="1" spans="1:27">
      <c r="A148" t="s">
        <v>318</v>
      </c>
      <c r="B148">
        <v>3</v>
      </c>
      <c r="C148">
        <v>25</v>
      </c>
      <c r="D148" t="s">
        <v>658</v>
      </c>
      <c r="E148">
        <v>1.229</v>
      </c>
      <c r="F148">
        <v>0.6</v>
      </c>
      <c r="G148">
        <v>0.024</v>
      </c>
      <c r="H148">
        <v>0.58</v>
      </c>
      <c r="I148">
        <v>4</v>
      </c>
      <c r="J148">
        <v>96.6666666666667</v>
      </c>
      <c r="K148">
        <v>48.820179007323</v>
      </c>
      <c r="L148">
        <v>1.95280716029292</v>
      </c>
      <c r="M148">
        <v>-0.004</v>
      </c>
      <c r="N148">
        <v>0.666666666666667</v>
      </c>
      <c r="O148">
        <v>0.576</v>
      </c>
      <c r="P148" t="s">
        <v>659</v>
      </c>
      <c r="R148">
        <v>0</v>
      </c>
      <c r="S148">
        <v>407</v>
      </c>
      <c r="T148">
        <v>421</v>
      </c>
      <c r="U148">
        <v>412</v>
      </c>
      <c r="V148">
        <v>409</v>
      </c>
      <c r="W148">
        <v>1</v>
      </c>
      <c r="X148">
        <v>1</v>
      </c>
      <c r="Y148" t="s">
        <v>776</v>
      </c>
      <c r="Z148" t="s">
        <v>531</v>
      </c>
      <c r="AA148" t="s">
        <v>661</v>
      </c>
    </row>
    <row r="149" hidden="1" spans="1:27">
      <c r="A149" t="s">
        <v>318</v>
      </c>
      <c r="B149">
        <v>3</v>
      </c>
      <c r="C149">
        <v>37</v>
      </c>
      <c r="D149" t="s">
        <v>658</v>
      </c>
      <c r="E149">
        <v>1.086</v>
      </c>
      <c r="F149">
        <v>0.5</v>
      </c>
      <c r="G149">
        <v>0.02</v>
      </c>
      <c r="H149">
        <v>0.502</v>
      </c>
      <c r="I149">
        <v>4</v>
      </c>
      <c r="J149">
        <v>100.4</v>
      </c>
      <c r="K149">
        <v>46.0405156537753</v>
      </c>
      <c r="L149">
        <v>1.84162062615101</v>
      </c>
      <c r="M149">
        <v>-0.022</v>
      </c>
      <c r="N149">
        <v>4.4</v>
      </c>
      <c r="O149">
        <v>0.48</v>
      </c>
      <c r="P149" t="s">
        <v>659</v>
      </c>
      <c r="R149">
        <v>0</v>
      </c>
      <c r="S149">
        <v>607</v>
      </c>
      <c r="T149">
        <v>621</v>
      </c>
      <c r="U149">
        <v>612</v>
      </c>
      <c r="V149">
        <v>609</v>
      </c>
      <c r="W149">
        <v>1</v>
      </c>
      <c r="X149">
        <v>1</v>
      </c>
      <c r="Y149" t="s">
        <v>742</v>
      </c>
      <c r="Z149" t="s">
        <v>531</v>
      </c>
      <c r="AA149" t="s">
        <v>661</v>
      </c>
    </row>
    <row r="150" hidden="1" spans="1:27">
      <c r="A150" t="s">
        <v>432</v>
      </c>
      <c r="B150">
        <v>3</v>
      </c>
      <c r="C150">
        <v>6</v>
      </c>
      <c r="D150" t="s">
        <v>658</v>
      </c>
      <c r="E150">
        <v>4.293</v>
      </c>
      <c r="F150">
        <v>3.9</v>
      </c>
      <c r="G150">
        <v>0.151</v>
      </c>
      <c r="H150">
        <v>3.734</v>
      </c>
      <c r="I150">
        <v>3.87179487179487</v>
      </c>
      <c r="J150">
        <v>95.7435897435897</v>
      </c>
      <c r="K150">
        <v>90.8455625436758</v>
      </c>
      <c r="L150">
        <v>3.51735383181924</v>
      </c>
      <c r="M150">
        <v>0.0150000000000001</v>
      </c>
      <c r="N150">
        <v>0.384615384615388</v>
      </c>
      <c r="O150">
        <v>3.749</v>
      </c>
      <c r="P150" t="s">
        <v>659</v>
      </c>
      <c r="R150">
        <v>0</v>
      </c>
      <c r="S150">
        <v>121</v>
      </c>
      <c r="T150">
        <v>135</v>
      </c>
      <c r="U150">
        <v>126</v>
      </c>
      <c r="V150">
        <v>123</v>
      </c>
      <c r="W150">
        <v>1</v>
      </c>
      <c r="X150">
        <v>1</v>
      </c>
      <c r="Y150" t="s">
        <v>790</v>
      </c>
      <c r="Z150" t="s">
        <v>536</v>
      </c>
      <c r="AA150" t="s">
        <v>661</v>
      </c>
    </row>
    <row r="151" hidden="1" spans="1:27">
      <c r="A151" t="s">
        <v>318</v>
      </c>
      <c r="B151">
        <v>3</v>
      </c>
      <c r="C151">
        <v>27</v>
      </c>
      <c r="D151" t="s">
        <v>658</v>
      </c>
      <c r="E151">
        <v>1.36</v>
      </c>
      <c r="F151">
        <v>0.6</v>
      </c>
      <c r="G151">
        <v>0.023</v>
      </c>
      <c r="H151">
        <v>0.549</v>
      </c>
      <c r="I151">
        <v>3.83333333333333</v>
      </c>
      <c r="J151">
        <v>91.5</v>
      </c>
      <c r="K151">
        <v>44.1176470588235</v>
      </c>
      <c r="L151">
        <v>1.69117647058824</v>
      </c>
      <c r="M151">
        <v>0.0279999999999999</v>
      </c>
      <c r="N151">
        <v>4.66666666666665</v>
      </c>
      <c r="O151">
        <v>0.577</v>
      </c>
      <c r="P151" t="s">
        <v>659</v>
      </c>
      <c r="R151">
        <v>0</v>
      </c>
      <c r="S151">
        <v>441</v>
      </c>
      <c r="T151">
        <v>455</v>
      </c>
      <c r="U151">
        <v>446</v>
      </c>
      <c r="V151">
        <v>443</v>
      </c>
      <c r="W151">
        <v>1</v>
      </c>
      <c r="X151">
        <v>1</v>
      </c>
      <c r="Y151" t="s">
        <v>732</v>
      </c>
      <c r="Z151" t="s">
        <v>531</v>
      </c>
      <c r="AA151" t="s">
        <v>661</v>
      </c>
    </row>
    <row r="152" hidden="1" spans="1:27">
      <c r="A152" t="s">
        <v>318</v>
      </c>
      <c r="B152">
        <v>3</v>
      </c>
      <c r="C152">
        <v>30</v>
      </c>
      <c r="D152" t="s">
        <v>658</v>
      </c>
      <c r="E152">
        <v>1.138</v>
      </c>
      <c r="F152">
        <v>0.6</v>
      </c>
      <c r="G152">
        <v>0.023</v>
      </c>
      <c r="H152">
        <v>0.551</v>
      </c>
      <c r="I152">
        <v>3.83333333333333</v>
      </c>
      <c r="J152">
        <v>91.8333333333333</v>
      </c>
      <c r="K152">
        <v>52.7240773286468</v>
      </c>
      <c r="L152">
        <v>2.02108963093146</v>
      </c>
      <c r="M152">
        <v>0.0259999999999999</v>
      </c>
      <c r="N152">
        <v>4.33333333333332</v>
      </c>
      <c r="O152">
        <v>0.577</v>
      </c>
      <c r="P152" t="s">
        <v>659</v>
      </c>
      <c r="R152">
        <v>0</v>
      </c>
      <c r="S152">
        <v>491</v>
      </c>
      <c r="T152">
        <v>505</v>
      </c>
      <c r="U152">
        <v>496</v>
      </c>
      <c r="V152">
        <v>493</v>
      </c>
      <c r="W152">
        <v>1</v>
      </c>
      <c r="X152">
        <v>1</v>
      </c>
      <c r="Y152" t="s">
        <v>742</v>
      </c>
      <c r="Z152" t="s">
        <v>531</v>
      </c>
      <c r="AA152" t="s">
        <v>661</v>
      </c>
    </row>
    <row r="153" hidden="1" spans="1:27">
      <c r="A153" t="s">
        <v>318</v>
      </c>
      <c r="B153">
        <v>3</v>
      </c>
      <c r="C153">
        <v>35</v>
      </c>
      <c r="D153" t="s">
        <v>658</v>
      </c>
      <c r="E153">
        <v>1.017</v>
      </c>
      <c r="F153">
        <v>0.5</v>
      </c>
      <c r="G153">
        <v>0.019</v>
      </c>
      <c r="H153">
        <v>0.489</v>
      </c>
      <c r="I153">
        <v>3.8</v>
      </c>
      <c r="J153">
        <v>97.8</v>
      </c>
      <c r="K153">
        <v>49.1642084562439</v>
      </c>
      <c r="L153">
        <v>1.86823992133727</v>
      </c>
      <c r="M153">
        <v>-0.00800000000000001</v>
      </c>
      <c r="N153">
        <v>1.6</v>
      </c>
      <c r="O153">
        <v>0.481</v>
      </c>
      <c r="P153" t="s">
        <v>659</v>
      </c>
      <c r="R153">
        <v>0</v>
      </c>
      <c r="S153">
        <v>574</v>
      </c>
      <c r="T153">
        <v>588</v>
      </c>
      <c r="U153">
        <v>579</v>
      </c>
      <c r="V153">
        <v>576</v>
      </c>
      <c r="W153">
        <v>1</v>
      </c>
      <c r="X153">
        <v>1</v>
      </c>
      <c r="Y153" t="s">
        <v>742</v>
      </c>
      <c r="Z153" t="s">
        <v>531</v>
      </c>
      <c r="AA153" t="s">
        <v>661</v>
      </c>
    </row>
    <row r="154" hidden="1" spans="1:27">
      <c r="A154" t="s">
        <v>432</v>
      </c>
      <c r="B154">
        <v>3</v>
      </c>
      <c r="C154">
        <v>18</v>
      </c>
      <c r="D154" t="s">
        <v>658</v>
      </c>
      <c r="E154">
        <v>2.431</v>
      </c>
      <c r="F154">
        <v>1.8</v>
      </c>
      <c r="G154">
        <v>0.067</v>
      </c>
      <c r="H154">
        <v>1.672</v>
      </c>
      <c r="I154">
        <v>3.72222222222222</v>
      </c>
      <c r="J154">
        <v>92.8888888888889</v>
      </c>
      <c r="K154">
        <v>74.0436034553682</v>
      </c>
      <c r="L154">
        <v>2.75606746194981</v>
      </c>
      <c r="M154">
        <v>0.0610000000000002</v>
      </c>
      <c r="N154">
        <v>3.3888888888889</v>
      </c>
      <c r="O154">
        <v>1.733</v>
      </c>
      <c r="P154" t="s">
        <v>659</v>
      </c>
      <c r="R154">
        <v>0</v>
      </c>
      <c r="S154">
        <v>326</v>
      </c>
      <c r="T154">
        <v>340</v>
      </c>
      <c r="U154">
        <v>331</v>
      </c>
      <c r="V154">
        <v>328</v>
      </c>
      <c r="W154">
        <v>1</v>
      </c>
      <c r="X154">
        <v>1</v>
      </c>
      <c r="Y154" t="s">
        <v>781</v>
      </c>
      <c r="Z154" t="s">
        <v>536</v>
      </c>
      <c r="AA154" t="s">
        <v>661</v>
      </c>
    </row>
    <row r="155" hidden="1" spans="1:27">
      <c r="A155" t="s">
        <v>134</v>
      </c>
      <c r="B155">
        <v>3</v>
      </c>
      <c r="C155">
        <v>4</v>
      </c>
      <c r="D155" t="s">
        <v>670</v>
      </c>
      <c r="E155">
        <v>2.339</v>
      </c>
      <c r="F155">
        <v>1.3</v>
      </c>
      <c r="G155">
        <v>0.048</v>
      </c>
      <c r="H155">
        <v>1.253</v>
      </c>
      <c r="I155">
        <v>3.69230769230769</v>
      </c>
      <c r="J155">
        <v>96.3846153846154</v>
      </c>
      <c r="K155">
        <v>55.5793073963232</v>
      </c>
      <c r="L155">
        <v>2.05215904232578</v>
      </c>
      <c r="M155">
        <v>-0.00099999999999989</v>
      </c>
      <c r="N155">
        <v>0.0769230769230684</v>
      </c>
      <c r="O155">
        <v>1.252</v>
      </c>
      <c r="P155" t="s">
        <v>659</v>
      </c>
      <c r="R155">
        <v>0</v>
      </c>
      <c r="S155">
        <v>88</v>
      </c>
      <c r="T155">
        <v>102</v>
      </c>
      <c r="U155">
        <v>93</v>
      </c>
      <c r="V155">
        <v>90</v>
      </c>
      <c r="W155">
        <v>1</v>
      </c>
      <c r="X155">
        <v>1</v>
      </c>
      <c r="Y155" t="s">
        <v>701</v>
      </c>
      <c r="Z155" t="s">
        <v>523</v>
      </c>
      <c r="AA155" t="s">
        <v>661</v>
      </c>
    </row>
    <row r="156" hidden="1" spans="1:27">
      <c r="A156" t="s">
        <v>99</v>
      </c>
      <c r="B156">
        <v>1</v>
      </c>
      <c r="C156">
        <v>28</v>
      </c>
      <c r="D156" t="s">
        <v>658</v>
      </c>
      <c r="E156">
        <v>33.287</v>
      </c>
      <c r="F156">
        <v>31.6</v>
      </c>
      <c r="G156">
        <v>1.134</v>
      </c>
      <c r="H156">
        <v>30.435</v>
      </c>
      <c r="I156">
        <v>3.58860759493671</v>
      </c>
      <c r="J156">
        <v>96.3132911392405</v>
      </c>
      <c r="K156">
        <v>94.9319554180311</v>
      </c>
      <c r="L156">
        <v>3.40673536215339</v>
      </c>
      <c r="M156">
        <v>0.0310000000000024</v>
      </c>
      <c r="N156">
        <v>0.0981012658227923</v>
      </c>
      <c r="O156">
        <v>30.466</v>
      </c>
      <c r="P156" t="s">
        <v>659</v>
      </c>
      <c r="R156">
        <v>0</v>
      </c>
      <c r="S156">
        <v>487</v>
      </c>
      <c r="T156">
        <v>501</v>
      </c>
      <c r="U156">
        <v>492</v>
      </c>
      <c r="V156">
        <v>489</v>
      </c>
      <c r="W156">
        <v>1</v>
      </c>
      <c r="X156">
        <v>1</v>
      </c>
      <c r="Y156" t="s">
        <v>791</v>
      </c>
      <c r="Z156" t="s">
        <v>522</v>
      </c>
      <c r="AA156" t="s">
        <v>661</v>
      </c>
    </row>
    <row r="157" hidden="1" spans="1:27">
      <c r="A157" t="s">
        <v>134</v>
      </c>
      <c r="B157">
        <v>3</v>
      </c>
      <c r="C157">
        <v>12</v>
      </c>
      <c r="D157" t="s">
        <v>658</v>
      </c>
      <c r="E157">
        <v>9.766</v>
      </c>
      <c r="F157">
        <v>6.6</v>
      </c>
      <c r="G157">
        <v>0.236</v>
      </c>
      <c r="H157">
        <v>6.361</v>
      </c>
      <c r="I157">
        <v>3.57575757575758</v>
      </c>
      <c r="J157">
        <v>96.3787878787879</v>
      </c>
      <c r="K157">
        <v>67.5814048740528</v>
      </c>
      <c r="L157">
        <v>2.41654720458734</v>
      </c>
      <c r="M157">
        <v>0.00300000000000011</v>
      </c>
      <c r="N157">
        <v>0.0454545454545472</v>
      </c>
      <c r="O157">
        <v>6.364</v>
      </c>
      <c r="P157" t="s">
        <v>659</v>
      </c>
      <c r="R157">
        <v>0</v>
      </c>
      <c r="S157">
        <v>223</v>
      </c>
      <c r="T157">
        <v>237</v>
      </c>
      <c r="U157">
        <v>228</v>
      </c>
      <c r="V157">
        <v>225</v>
      </c>
      <c r="W157">
        <v>1</v>
      </c>
      <c r="X157">
        <v>1</v>
      </c>
      <c r="Y157" t="s">
        <v>792</v>
      </c>
      <c r="Z157" t="s">
        <v>523</v>
      </c>
      <c r="AA157" t="s">
        <v>661</v>
      </c>
    </row>
    <row r="158" hidden="1" spans="1:27">
      <c r="A158" t="s">
        <v>26</v>
      </c>
      <c r="B158">
        <v>2</v>
      </c>
      <c r="C158">
        <v>14</v>
      </c>
      <c r="D158" t="s">
        <v>658</v>
      </c>
      <c r="E158">
        <v>53.179</v>
      </c>
      <c r="F158">
        <v>52.5</v>
      </c>
      <c r="G158">
        <v>1.806</v>
      </c>
      <c r="H158">
        <v>50.586</v>
      </c>
      <c r="I158">
        <v>3.44</v>
      </c>
      <c r="J158">
        <v>96.3542857142857</v>
      </c>
      <c r="K158">
        <v>98.7231802027116</v>
      </c>
      <c r="L158">
        <v>3.39607739897328</v>
      </c>
      <c r="M158">
        <v>0.108000000000004</v>
      </c>
      <c r="N158">
        <v>0.205714285714294</v>
      </c>
      <c r="O158">
        <v>50.694</v>
      </c>
      <c r="P158" t="s">
        <v>659</v>
      </c>
      <c r="R158">
        <v>0</v>
      </c>
      <c r="S158">
        <v>250</v>
      </c>
      <c r="T158">
        <v>264</v>
      </c>
      <c r="U158">
        <v>255</v>
      </c>
      <c r="V158">
        <v>252</v>
      </c>
      <c r="W158">
        <v>1</v>
      </c>
      <c r="X158">
        <v>1</v>
      </c>
      <c r="Y158" t="s">
        <v>793</v>
      </c>
      <c r="Z158" t="s">
        <v>519</v>
      </c>
      <c r="AA158" t="s">
        <v>661</v>
      </c>
    </row>
    <row r="159" hidden="1" spans="1:27">
      <c r="A159" t="s">
        <v>393</v>
      </c>
      <c r="B159">
        <v>3</v>
      </c>
      <c r="C159">
        <v>22</v>
      </c>
      <c r="D159" t="s">
        <v>658</v>
      </c>
      <c r="E159">
        <v>7.237</v>
      </c>
      <c r="F159">
        <v>6.6</v>
      </c>
      <c r="G159">
        <v>0.226</v>
      </c>
      <c r="H159">
        <v>6.26</v>
      </c>
      <c r="I159">
        <v>3.42424242424242</v>
      </c>
      <c r="J159">
        <v>94.8484848484848</v>
      </c>
      <c r="K159">
        <v>91.1980102252314</v>
      </c>
      <c r="L159">
        <v>3.12284095619732</v>
      </c>
      <c r="M159">
        <v>0.114</v>
      </c>
      <c r="N159">
        <v>1.72727272727273</v>
      </c>
      <c r="O159">
        <v>6.374</v>
      </c>
      <c r="P159" t="s">
        <v>659</v>
      </c>
      <c r="R159">
        <v>0</v>
      </c>
      <c r="S159">
        <v>376</v>
      </c>
      <c r="T159">
        <v>390</v>
      </c>
      <c r="U159">
        <v>381</v>
      </c>
      <c r="V159">
        <v>378</v>
      </c>
      <c r="W159">
        <v>1</v>
      </c>
      <c r="X159">
        <v>1</v>
      </c>
      <c r="Y159" t="s">
        <v>727</v>
      </c>
      <c r="Z159" t="s">
        <v>534</v>
      </c>
      <c r="AA159" t="s">
        <v>661</v>
      </c>
    </row>
    <row r="160" hidden="1" spans="1:27">
      <c r="A160" t="s">
        <v>41</v>
      </c>
      <c r="B160">
        <v>1</v>
      </c>
      <c r="C160">
        <v>4</v>
      </c>
      <c r="D160" t="s">
        <v>670</v>
      </c>
      <c r="E160">
        <v>3.186</v>
      </c>
      <c r="F160">
        <v>2.2</v>
      </c>
      <c r="G160">
        <v>0.074</v>
      </c>
      <c r="H160">
        <v>2.126</v>
      </c>
      <c r="I160">
        <v>3.36363636363636</v>
      </c>
      <c r="J160">
        <v>96.6363636363636</v>
      </c>
      <c r="K160">
        <v>69.052102950408</v>
      </c>
      <c r="L160">
        <v>2.32266164469554</v>
      </c>
      <c r="M160">
        <v>4.44089209850063e-16</v>
      </c>
      <c r="N160">
        <v>2.01858731750028e-14</v>
      </c>
      <c r="O160">
        <v>2.126</v>
      </c>
      <c r="P160" t="s">
        <v>659</v>
      </c>
      <c r="R160">
        <v>0</v>
      </c>
      <c r="S160">
        <v>88</v>
      </c>
      <c r="T160">
        <v>102</v>
      </c>
      <c r="U160">
        <v>93</v>
      </c>
      <c r="V160">
        <v>90</v>
      </c>
      <c r="W160">
        <v>1</v>
      </c>
      <c r="X160">
        <v>1</v>
      </c>
      <c r="Y160" t="s">
        <v>794</v>
      </c>
      <c r="Z160" t="s">
        <v>520</v>
      </c>
      <c r="AA160" t="s">
        <v>661</v>
      </c>
    </row>
    <row r="161" hidden="1" spans="1:27">
      <c r="A161" t="s">
        <v>432</v>
      </c>
      <c r="B161">
        <v>3</v>
      </c>
      <c r="C161">
        <v>20</v>
      </c>
      <c r="D161" t="s">
        <v>658</v>
      </c>
      <c r="E161">
        <v>2.496</v>
      </c>
      <c r="F161">
        <v>2</v>
      </c>
      <c r="G161">
        <v>0.067</v>
      </c>
      <c r="H161">
        <v>1.888</v>
      </c>
      <c r="I161">
        <v>3.35</v>
      </c>
      <c r="J161">
        <v>94.4</v>
      </c>
      <c r="K161">
        <v>80.1282051282051</v>
      </c>
      <c r="L161">
        <v>2.68429487179487</v>
      </c>
      <c r="M161">
        <v>0.0450000000000002</v>
      </c>
      <c r="N161">
        <v>2.25000000000001</v>
      </c>
      <c r="O161">
        <v>1.933</v>
      </c>
      <c r="P161" t="s">
        <v>659</v>
      </c>
      <c r="R161">
        <v>0</v>
      </c>
      <c r="S161">
        <v>362</v>
      </c>
      <c r="T161">
        <v>376</v>
      </c>
      <c r="U161">
        <v>367</v>
      </c>
      <c r="V161">
        <v>364</v>
      </c>
      <c r="W161">
        <v>1</v>
      </c>
      <c r="X161">
        <v>1</v>
      </c>
      <c r="Y161" t="s">
        <v>795</v>
      </c>
      <c r="Z161" t="s">
        <v>536</v>
      </c>
      <c r="AA161" t="s">
        <v>661</v>
      </c>
    </row>
    <row r="162" hidden="1" spans="1:27">
      <c r="A162" t="s">
        <v>432</v>
      </c>
      <c r="B162">
        <v>3</v>
      </c>
      <c r="C162">
        <v>14</v>
      </c>
      <c r="D162" t="s">
        <v>658</v>
      </c>
      <c r="E162">
        <v>2.78</v>
      </c>
      <c r="F162">
        <v>2.1</v>
      </c>
      <c r="G162">
        <v>0.07</v>
      </c>
      <c r="H162">
        <v>1.962</v>
      </c>
      <c r="I162">
        <v>3.33333333333333</v>
      </c>
      <c r="J162">
        <v>93.4285714285714</v>
      </c>
      <c r="K162">
        <v>75.5395683453237</v>
      </c>
      <c r="L162">
        <v>2.51798561151079</v>
      </c>
      <c r="M162">
        <v>0.0680000000000001</v>
      </c>
      <c r="N162">
        <v>3.23809523809524</v>
      </c>
      <c r="O162">
        <v>2.03</v>
      </c>
      <c r="P162" t="s">
        <v>659</v>
      </c>
      <c r="R162">
        <v>0</v>
      </c>
      <c r="S162">
        <v>255</v>
      </c>
      <c r="T162">
        <v>269</v>
      </c>
      <c r="U162">
        <v>260</v>
      </c>
      <c r="V162">
        <v>257</v>
      </c>
      <c r="W162">
        <v>1</v>
      </c>
      <c r="X162">
        <v>1</v>
      </c>
      <c r="Y162" t="s">
        <v>796</v>
      </c>
      <c r="Z162" t="s">
        <v>536</v>
      </c>
      <c r="AA162" t="s">
        <v>661</v>
      </c>
    </row>
    <row r="163" hidden="1" spans="1:27">
      <c r="A163" t="s">
        <v>432</v>
      </c>
      <c r="B163">
        <v>3</v>
      </c>
      <c r="C163">
        <v>19</v>
      </c>
      <c r="D163" t="s">
        <v>658</v>
      </c>
      <c r="E163">
        <v>2.106</v>
      </c>
      <c r="F163">
        <v>1.6</v>
      </c>
      <c r="G163">
        <v>0.053</v>
      </c>
      <c r="H163">
        <v>1.565</v>
      </c>
      <c r="I163">
        <v>3.3125</v>
      </c>
      <c r="J163">
        <v>97.8125</v>
      </c>
      <c r="K163">
        <v>75.9734093067426</v>
      </c>
      <c r="L163">
        <v>2.51661918328585</v>
      </c>
      <c r="M163">
        <v>-0.0179999999999998</v>
      </c>
      <c r="N163">
        <v>1.12499999999999</v>
      </c>
      <c r="O163">
        <v>1.547</v>
      </c>
      <c r="P163" t="s">
        <v>659</v>
      </c>
      <c r="R163">
        <v>0</v>
      </c>
      <c r="S163">
        <v>344</v>
      </c>
      <c r="T163">
        <v>358</v>
      </c>
      <c r="U163">
        <v>349</v>
      </c>
      <c r="V163">
        <v>346</v>
      </c>
      <c r="W163">
        <v>1</v>
      </c>
      <c r="X163">
        <v>1</v>
      </c>
      <c r="Y163" t="s">
        <v>797</v>
      </c>
      <c r="Z163" t="s">
        <v>536</v>
      </c>
      <c r="AA163" t="s">
        <v>661</v>
      </c>
    </row>
    <row r="164" hidden="1" spans="1:27">
      <c r="A164" t="s">
        <v>134</v>
      </c>
      <c r="B164">
        <v>3</v>
      </c>
      <c r="C164">
        <v>7</v>
      </c>
      <c r="D164" t="s">
        <v>798</v>
      </c>
      <c r="E164">
        <v>7.608</v>
      </c>
      <c r="F164">
        <v>7</v>
      </c>
      <c r="G164">
        <v>0.226</v>
      </c>
      <c r="H164">
        <v>6.669</v>
      </c>
      <c r="I164">
        <v>3.22857142857143</v>
      </c>
      <c r="J164">
        <v>95.2714285714286</v>
      </c>
      <c r="K164">
        <v>92.0084121976867</v>
      </c>
      <c r="L164">
        <v>2.97055730809674</v>
      </c>
      <c r="M164">
        <v>0.105</v>
      </c>
      <c r="N164">
        <v>1.50000000000001</v>
      </c>
      <c r="O164">
        <v>6.774</v>
      </c>
      <c r="P164" t="s">
        <v>659</v>
      </c>
      <c r="R164">
        <v>0</v>
      </c>
      <c r="S164">
        <v>143</v>
      </c>
      <c r="T164">
        <v>157</v>
      </c>
      <c r="U164">
        <v>148</v>
      </c>
      <c r="V164">
        <v>145</v>
      </c>
      <c r="W164">
        <v>1</v>
      </c>
      <c r="X164">
        <v>1</v>
      </c>
      <c r="Y164" t="s">
        <v>799</v>
      </c>
      <c r="Z164" t="s">
        <v>523</v>
      </c>
      <c r="AA164" t="s">
        <v>661</v>
      </c>
    </row>
    <row r="165" hidden="1" spans="1:27">
      <c r="A165" t="s">
        <v>303</v>
      </c>
      <c r="B165">
        <v>2</v>
      </c>
      <c r="C165">
        <v>10</v>
      </c>
      <c r="D165" t="s">
        <v>658</v>
      </c>
      <c r="E165">
        <v>3.54</v>
      </c>
      <c r="F165">
        <v>3.1</v>
      </c>
      <c r="G165">
        <v>0.098</v>
      </c>
      <c r="H165">
        <v>2.937</v>
      </c>
      <c r="I165">
        <v>3.16129032258065</v>
      </c>
      <c r="J165">
        <v>94.741935483871</v>
      </c>
      <c r="K165">
        <v>87.5706214689266</v>
      </c>
      <c r="L165">
        <v>2.7683615819209</v>
      </c>
      <c r="M165">
        <v>0.0650000000000004</v>
      </c>
      <c r="N165">
        <v>2.0967741935484</v>
      </c>
      <c r="O165">
        <v>3.002</v>
      </c>
      <c r="P165" t="s">
        <v>659</v>
      </c>
      <c r="R165">
        <v>0</v>
      </c>
      <c r="S165">
        <v>188</v>
      </c>
      <c r="T165">
        <v>202</v>
      </c>
      <c r="U165">
        <v>193</v>
      </c>
      <c r="V165">
        <v>190</v>
      </c>
      <c r="W165">
        <v>1</v>
      </c>
      <c r="X165">
        <v>1</v>
      </c>
      <c r="Y165" t="s">
        <v>800</v>
      </c>
      <c r="Z165" t="s">
        <v>530</v>
      </c>
      <c r="AA165" t="s">
        <v>661</v>
      </c>
    </row>
    <row r="166" hidden="1" spans="1:27">
      <c r="A166" t="s">
        <v>334</v>
      </c>
      <c r="B166">
        <v>3</v>
      </c>
      <c r="C166">
        <v>15</v>
      </c>
      <c r="D166" t="s">
        <v>658</v>
      </c>
      <c r="E166">
        <v>27.438</v>
      </c>
      <c r="F166">
        <v>26</v>
      </c>
      <c r="G166">
        <v>0.819</v>
      </c>
      <c r="H166">
        <v>25.112</v>
      </c>
      <c r="I166">
        <v>3.15</v>
      </c>
      <c r="J166">
        <v>96.5846153846154</v>
      </c>
      <c r="K166">
        <v>94.7590932283694</v>
      </c>
      <c r="L166">
        <v>2.98491143669364</v>
      </c>
      <c r="M166">
        <v>0.0690000000000026</v>
      </c>
      <c r="N166">
        <v>0.265384615384625</v>
      </c>
      <c r="O166">
        <v>25.181</v>
      </c>
      <c r="P166" t="s">
        <v>659</v>
      </c>
      <c r="R166">
        <v>0</v>
      </c>
      <c r="S166">
        <v>272</v>
      </c>
      <c r="T166">
        <v>286</v>
      </c>
      <c r="U166">
        <v>277</v>
      </c>
      <c r="V166">
        <v>274</v>
      </c>
      <c r="W166">
        <v>1</v>
      </c>
      <c r="X166">
        <v>1</v>
      </c>
      <c r="Y166" t="s">
        <v>801</v>
      </c>
      <c r="Z166" t="s">
        <v>532</v>
      </c>
      <c r="AA166" t="s">
        <v>661</v>
      </c>
    </row>
    <row r="167" hidden="1" spans="1:27">
      <c r="A167" t="s">
        <v>280</v>
      </c>
      <c r="B167">
        <v>2</v>
      </c>
      <c r="C167">
        <v>22</v>
      </c>
      <c r="D167" t="s">
        <v>658</v>
      </c>
      <c r="E167">
        <v>5.222</v>
      </c>
      <c r="F167">
        <v>4.5</v>
      </c>
      <c r="G167">
        <v>0.139</v>
      </c>
      <c r="H167">
        <v>4.371</v>
      </c>
      <c r="I167">
        <v>3.08888888888889</v>
      </c>
      <c r="J167">
        <v>97.1333333333333</v>
      </c>
      <c r="K167">
        <v>86.1738797395634</v>
      </c>
      <c r="L167">
        <v>2.66181539639985</v>
      </c>
      <c r="M167">
        <v>-0.0100000000000007</v>
      </c>
      <c r="N167">
        <v>0.222222222222237</v>
      </c>
      <c r="O167">
        <v>4.361</v>
      </c>
      <c r="P167" t="s">
        <v>659</v>
      </c>
      <c r="R167">
        <v>0</v>
      </c>
      <c r="S167">
        <v>408</v>
      </c>
      <c r="T167">
        <v>422</v>
      </c>
      <c r="U167">
        <v>413</v>
      </c>
      <c r="V167">
        <v>410</v>
      </c>
      <c r="W167">
        <v>1</v>
      </c>
      <c r="X167">
        <v>1</v>
      </c>
      <c r="Y167" t="s">
        <v>802</v>
      </c>
      <c r="Z167" t="s">
        <v>529</v>
      </c>
      <c r="AA167" t="s">
        <v>661</v>
      </c>
    </row>
    <row r="168" hidden="1" spans="1:27">
      <c r="A168" t="s">
        <v>432</v>
      </c>
      <c r="B168">
        <v>3</v>
      </c>
      <c r="C168">
        <v>15</v>
      </c>
      <c r="D168" t="s">
        <v>658</v>
      </c>
      <c r="E168">
        <v>2.331</v>
      </c>
      <c r="F168">
        <v>1.8</v>
      </c>
      <c r="G168">
        <v>0.055</v>
      </c>
      <c r="H168">
        <v>1.687</v>
      </c>
      <c r="I168">
        <v>3.05555555555556</v>
      </c>
      <c r="J168">
        <v>93.7222222222222</v>
      </c>
      <c r="K168">
        <v>77.2200772200772</v>
      </c>
      <c r="L168">
        <v>2.35950235950236</v>
      </c>
      <c r="M168">
        <v>0.0580000000000001</v>
      </c>
      <c r="N168">
        <v>3.22222222222222</v>
      </c>
      <c r="O168">
        <v>1.745</v>
      </c>
      <c r="P168" t="s">
        <v>659</v>
      </c>
      <c r="R168">
        <v>0</v>
      </c>
      <c r="S168">
        <v>273</v>
      </c>
      <c r="T168">
        <v>287</v>
      </c>
      <c r="U168">
        <v>278</v>
      </c>
      <c r="V168">
        <v>275</v>
      </c>
      <c r="W168">
        <v>1</v>
      </c>
      <c r="X168">
        <v>1</v>
      </c>
      <c r="Y168" t="s">
        <v>803</v>
      </c>
      <c r="Z168" t="s">
        <v>536</v>
      </c>
      <c r="AA168" t="s">
        <v>661</v>
      </c>
    </row>
    <row r="169" hidden="1" spans="1:27">
      <c r="A169" t="s">
        <v>334</v>
      </c>
      <c r="B169">
        <v>3</v>
      </c>
      <c r="C169">
        <v>22</v>
      </c>
      <c r="D169" t="s">
        <v>658</v>
      </c>
      <c r="E169">
        <v>70.54</v>
      </c>
      <c r="F169">
        <v>69.4</v>
      </c>
      <c r="G169">
        <v>2.095</v>
      </c>
      <c r="H169">
        <v>67.222</v>
      </c>
      <c r="I169">
        <v>3.01873198847262</v>
      </c>
      <c r="J169">
        <v>96.8616714697406</v>
      </c>
      <c r="K169">
        <v>98.3838956620357</v>
      </c>
      <c r="L169">
        <v>2.9699461298554</v>
      </c>
      <c r="M169">
        <v>0.0830000000000126</v>
      </c>
      <c r="N169">
        <v>0.119596541786762</v>
      </c>
      <c r="O169">
        <v>67.305</v>
      </c>
      <c r="P169" t="s">
        <v>659</v>
      </c>
      <c r="R169">
        <v>0</v>
      </c>
      <c r="S169">
        <v>392</v>
      </c>
      <c r="T169">
        <v>406</v>
      </c>
      <c r="U169">
        <v>397</v>
      </c>
      <c r="V169">
        <v>394</v>
      </c>
      <c r="W169">
        <v>1</v>
      </c>
      <c r="X169">
        <v>1</v>
      </c>
      <c r="Y169" t="s">
        <v>804</v>
      </c>
      <c r="Z169" t="s">
        <v>532</v>
      </c>
      <c r="AA169" t="s">
        <v>661</v>
      </c>
    </row>
    <row r="170" hidden="1" spans="1:27">
      <c r="A170" t="s">
        <v>259</v>
      </c>
      <c r="B170">
        <v>1</v>
      </c>
      <c r="C170">
        <v>28</v>
      </c>
      <c r="D170" t="s">
        <v>658</v>
      </c>
      <c r="E170">
        <v>1.354</v>
      </c>
      <c r="F170">
        <v>0.6</v>
      </c>
      <c r="G170">
        <v>0.018</v>
      </c>
      <c r="H170">
        <v>0.55</v>
      </c>
      <c r="I170">
        <v>3</v>
      </c>
      <c r="J170">
        <v>91.6666666666667</v>
      </c>
      <c r="K170">
        <v>44.3131462333826</v>
      </c>
      <c r="L170">
        <v>1.32939438700148</v>
      </c>
      <c r="M170">
        <v>0.0319999999999999</v>
      </c>
      <c r="N170">
        <v>5.33333333333332</v>
      </c>
      <c r="O170">
        <v>0.582</v>
      </c>
      <c r="P170" t="s">
        <v>659</v>
      </c>
      <c r="R170">
        <v>0</v>
      </c>
      <c r="S170">
        <v>491</v>
      </c>
      <c r="T170">
        <v>505</v>
      </c>
      <c r="U170">
        <v>496</v>
      </c>
      <c r="V170">
        <v>493</v>
      </c>
      <c r="W170">
        <v>1</v>
      </c>
      <c r="X170">
        <v>1</v>
      </c>
      <c r="Y170" t="s">
        <v>805</v>
      </c>
      <c r="Z170" t="s">
        <v>528</v>
      </c>
      <c r="AA170" t="s">
        <v>661</v>
      </c>
    </row>
    <row r="171" hidden="1" spans="1:27">
      <c r="A171" t="s">
        <v>432</v>
      </c>
      <c r="B171">
        <v>3</v>
      </c>
      <c r="C171">
        <v>16</v>
      </c>
      <c r="D171" t="s">
        <v>658</v>
      </c>
      <c r="E171">
        <v>2.967</v>
      </c>
      <c r="F171">
        <v>2.4</v>
      </c>
      <c r="G171">
        <v>0.072</v>
      </c>
      <c r="H171">
        <v>2.293</v>
      </c>
      <c r="I171">
        <v>3</v>
      </c>
      <c r="J171">
        <v>95.5416666666667</v>
      </c>
      <c r="K171">
        <v>80.8897876643074</v>
      </c>
      <c r="L171">
        <v>2.42669362992922</v>
      </c>
      <c r="M171">
        <v>0.0349999999999997</v>
      </c>
      <c r="N171">
        <v>1.45833333333332</v>
      </c>
      <c r="O171">
        <v>2.328</v>
      </c>
      <c r="P171" t="s">
        <v>659</v>
      </c>
      <c r="R171">
        <v>0</v>
      </c>
      <c r="S171">
        <v>291</v>
      </c>
      <c r="T171">
        <v>305</v>
      </c>
      <c r="U171">
        <v>296</v>
      </c>
      <c r="V171">
        <v>293</v>
      </c>
      <c r="W171">
        <v>1</v>
      </c>
      <c r="X171">
        <v>1</v>
      </c>
      <c r="Y171" t="s">
        <v>796</v>
      </c>
      <c r="Z171" t="s">
        <v>536</v>
      </c>
      <c r="AA171" t="s">
        <v>661</v>
      </c>
    </row>
    <row r="172" hidden="1" spans="1:27">
      <c r="A172" t="s">
        <v>432</v>
      </c>
      <c r="B172">
        <v>3</v>
      </c>
      <c r="C172">
        <v>7</v>
      </c>
      <c r="D172" t="s">
        <v>658</v>
      </c>
      <c r="E172">
        <v>5.406</v>
      </c>
      <c r="F172">
        <v>4.8</v>
      </c>
      <c r="G172">
        <v>0.139</v>
      </c>
      <c r="H172">
        <v>4.626</v>
      </c>
      <c r="I172">
        <v>2.89583333333333</v>
      </c>
      <c r="J172">
        <v>96.375</v>
      </c>
      <c r="K172">
        <v>88.7902330743618</v>
      </c>
      <c r="L172">
        <v>2.57121716611173</v>
      </c>
      <c r="M172">
        <v>0.0349999999999993</v>
      </c>
      <c r="N172">
        <v>0.729166666666651</v>
      </c>
      <c r="O172">
        <v>4.661</v>
      </c>
      <c r="P172" t="s">
        <v>659</v>
      </c>
      <c r="R172">
        <v>0</v>
      </c>
      <c r="S172">
        <v>137</v>
      </c>
      <c r="T172">
        <v>151</v>
      </c>
      <c r="U172">
        <v>142</v>
      </c>
      <c r="V172">
        <v>139</v>
      </c>
      <c r="W172">
        <v>1</v>
      </c>
      <c r="X172">
        <v>1</v>
      </c>
      <c r="Y172" t="s">
        <v>806</v>
      </c>
      <c r="Z172" t="s">
        <v>536</v>
      </c>
      <c r="AA172" t="s">
        <v>661</v>
      </c>
    </row>
    <row r="173" hidden="1" spans="1:27">
      <c r="A173" t="s">
        <v>214</v>
      </c>
      <c r="B173">
        <v>3</v>
      </c>
      <c r="C173">
        <v>22</v>
      </c>
      <c r="D173" t="s">
        <v>658</v>
      </c>
      <c r="E173">
        <v>4.536</v>
      </c>
      <c r="F173">
        <v>3.9</v>
      </c>
      <c r="G173">
        <v>0.109</v>
      </c>
      <c r="H173">
        <v>3.794</v>
      </c>
      <c r="I173">
        <v>2.79487179487179</v>
      </c>
      <c r="J173">
        <v>97.2820512820513</v>
      </c>
      <c r="K173">
        <v>85.978835978836</v>
      </c>
      <c r="L173">
        <v>2.40299823633157</v>
      </c>
      <c r="M173">
        <v>-0.00300000000000011</v>
      </c>
      <c r="N173">
        <v>0.0769230769230798</v>
      </c>
      <c r="O173">
        <v>3.791</v>
      </c>
      <c r="P173" t="s">
        <v>659</v>
      </c>
      <c r="R173">
        <v>0</v>
      </c>
      <c r="S173">
        <v>387</v>
      </c>
      <c r="T173">
        <v>401</v>
      </c>
      <c r="U173">
        <v>392</v>
      </c>
      <c r="V173">
        <v>389</v>
      </c>
      <c r="W173">
        <v>1</v>
      </c>
      <c r="X173">
        <v>1</v>
      </c>
      <c r="Y173" t="s">
        <v>807</v>
      </c>
      <c r="Z173" t="s">
        <v>526</v>
      </c>
      <c r="AA173" t="s">
        <v>661</v>
      </c>
    </row>
    <row r="174" hidden="1" spans="1:27">
      <c r="A174" t="s">
        <v>280</v>
      </c>
      <c r="B174">
        <v>2</v>
      </c>
      <c r="C174">
        <v>21</v>
      </c>
      <c r="D174" t="s">
        <v>658</v>
      </c>
      <c r="E174">
        <v>6.279</v>
      </c>
      <c r="F174">
        <v>5.6</v>
      </c>
      <c r="G174">
        <v>0.146</v>
      </c>
      <c r="H174">
        <v>5.419</v>
      </c>
      <c r="I174">
        <v>2.60714285714286</v>
      </c>
      <c r="J174">
        <v>96.7678571428571</v>
      </c>
      <c r="K174">
        <v>89.1861761426979</v>
      </c>
      <c r="L174">
        <v>2.32521102086319</v>
      </c>
      <c r="M174">
        <v>0.0350000000000001</v>
      </c>
      <c r="N174">
        <v>0.625000000000003</v>
      </c>
      <c r="O174">
        <v>5.454</v>
      </c>
      <c r="P174" t="s">
        <v>659</v>
      </c>
      <c r="R174">
        <v>0</v>
      </c>
      <c r="S174">
        <v>390</v>
      </c>
      <c r="T174">
        <v>404</v>
      </c>
      <c r="U174">
        <v>395</v>
      </c>
      <c r="V174">
        <v>392</v>
      </c>
      <c r="W174">
        <v>1</v>
      </c>
      <c r="X174">
        <v>1</v>
      </c>
      <c r="Y174" t="s">
        <v>808</v>
      </c>
      <c r="Z174" t="s">
        <v>529</v>
      </c>
      <c r="AA174" t="s">
        <v>661</v>
      </c>
    </row>
    <row r="175" hidden="1" spans="1:27">
      <c r="A175" t="s">
        <v>26</v>
      </c>
      <c r="B175">
        <v>2</v>
      </c>
      <c r="C175">
        <v>1</v>
      </c>
      <c r="D175" t="s">
        <v>658</v>
      </c>
      <c r="E175">
        <v>1.41</v>
      </c>
      <c r="F175">
        <v>1</v>
      </c>
      <c r="G175">
        <v>0.026</v>
      </c>
      <c r="H175">
        <v>0.997</v>
      </c>
      <c r="I175">
        <v>2.6</v>
      </c>
      <c r="J175">
        <v>99.7</v>
      </c>
      <c r="K175">
        <v>70.9219858156028</v>
      </c>
      <c r="L175">
        <v>1.84397163120567</v>
      </c>
      <c r="M175">
        <v>-0.0229999999999999</v>
      </c>
      <c r="N175">
        <v>2.29999999999999</v>
      </c>
      <c r="O175">
        <v>0.974</v>
      </c>
      <c r="P175" t="s">
        <v>659</v>
      </c>
      <c r="R175">
        <v>0</v>
      </c>
      <c r="S175">
        <v>42</v>
      </c>
      <c r="T175">
        <v>56</v>
      </c>
      <c r="U175">
        <v>47</v>
      </c>
      <c r="V175">
        <v>44</v>
      </c>
      <c r="W175">
        <v>1</v>
      </c>
      <c r="X175">
        <v>1</v>
      </c>
      <c r="Y175" t="s">
        <v>687</v>
      </c>
      <c r="Z175" t="s">
        <v>519</v>
      </c>
      <c r="AA175" t="s">
        <v>661</v>
      </c>
    </row>
    <row r="176" hidden="1" spans="1:27">
      <c r="A176" t="s">
        <v>303</v>
      </c>
      <c r="B176">
        <v>2</v>
      </c>
      <c r="C176">
        <v>1</v>
      </c>
      <c r="D176" t="s">
        <v>658</v>
      </c>
      <c r="E176">
        <v>0.852</v>
      </c>
      <c r="F176">
        <v>0.5</v>
      </c>
      <c r="G176">
        <v>0.013</v>
      </c>
      <c r="H176">
        <v>0.509</v>
      </c>
      <c r="I176">
        <v>2.6</v>
      </c>
      <c r="J176">
        <v>101.8</v>
      </c>
      <c r="K176">
        <v>58.6854460093897</v>
      </c>
      <c r="L176">
        <v>1.52582159624413</v>
      </c>
      <c r="M176">
        <v>-0.022</v>
      </c>
      <c r="N176">
        <v>4.4</v>
      </c>
      <c r="O176">
        <v>0.487</v>
      </c>
      <c r="P176" t="s">
        <v>659</v>
      </c>
      <c r="R176">
        <v>0</v>
      </c>
      <c r="S176">
        <v>40</v>
      </c>
      <c r="T176">
        <v>54</v>
      </c>
      <c r="U176">
        <v>45</v>
      </c>
      <c r="V176">
        <v>42</v>
      </c>
      <c r="W176">
        <v>1</v>
      </c>
      <c r="X176">
        <v>1</v>
      </c>
      <c r="Y176" t="s">
        <v>809</v>
      </c>
      <c r="Z176" t="s">
        <v>530</v>
      </c>
      <c r="AA176" t="s">
        <v>661</v>
      </c>
    </row>
    <row r="177" hidden="1" spans="1:27">
      <c r="A177" t="s">
        <v>413</v>
      </c>
      <c r="B177">
        <v>2</v>
      </c>
      <c r="C177">
        <v>45</v>
      </c>
      <c r="D177" t="s">
        <v>658</v>
      </c>
      <c r="E177">
        <v>1.572</v>
      </c>
      <c r="F177">
        <v>1.1</v>
      </c>
      <c r="G177">
        <v>0.028</v>
      </c>
      <c r="H177">
        <v>1.008</v>
      </c>
      <c r="I177">
        <v>2.54545454545454</v>
      </c>
      <c r="J177">
        <v>91.6363636363636</v>
      </c>
      <c r="K177">
        <v>69.9745547073791</v>
      </c>
      <c r="L177">
        <v>1.78117048346056</v>
      </c>
      <c r="M177">
        <v>0.0640000000000001</v>
      </c>
      <c r="N177">
        <v>5.81818181818182</v>
      </c>
      <c r="O177">
        <v>1.072</v>
      </c>
      <c r="P177" t="s">
        <v>659</v>
      </c>
      <c r="R177">
        <v>0</v>
      </c>
      <c r="S177">
        <v>781</v>
      </c>
      <c r="T177">
        <v>795</v>
      </c>
      <c r="U177">
        <v>786</v>
      </c>
      <c r="V177">
        <v>783</v>
      </c>
      <c r="W177">
        <v>1</v>
      </c>
      <c r="X177">
        <v>1</v>
      </c>
      <c r="Y177" t="s">
        <v>810</v>
      </c>
      <c r="Z177" t="s">
        <v>535</v>
      </c>
      <c r="AA177" t="s">
        <v>661</v>
      </c>
    </row>
    <row r="178" hidden="1" spans="1:27">
      <c r="A178" t="s">
        <v>134</v>
      </c>
      <c r="B178">
        <v>3</v>
      </c>
      <c r="C178">
        <v>9</v>
      </c>
      <c r="D178" t="s">
        <v>658</v>
      </c>
      <c r="E178">
        <v>2.449</v>
      </c>
      <c r="F178">
        <v>1.9</v>
      </c>
      <c r="G178">
        <v>0.048</v>
      </c>
      <c r="H178">
        <v>1.806</v>
      </c>
      <c r="I178">
        <v>2.52631578947368</v>
      </c>
      <c r="J178">
        <v>95.0526315789474</v>
      </c>
      <c r="K178">
        <v>77.5826868109432</v>
      </c>
      <c r="L178">
        <v>1.95998366680278</v>
      </c>
      <c r="M178">
        <v>0.0459999999999998</v>
      </c>
      <c r="N178">
        <v>2.42105263157894</v>
      </c>
      <c r="O178">
        <v>1.852</v>
      </c>
      <c r="P178" t="s">
        <v>659</v>
      </c>
      <c r="R178">
        <v>0</v>
      </c>
      <c r="S178">
        <v>175</v>
      </c>
      <c r="T178">
        <v>189</v>
      </c>
      <c r="U178">
        <v>180</v>
      </c>
      <c r="V178">
        <v>177</v>
      </c>
      <c r="W178">
        <v>1</v>
      </c>
      <c r="X178">
        <v>1</v>
      </c>
      <c r="Y178" t="s">
        <v>811</v>
      </c>
      <c r="Z178" t="s">
        <v>523</v>
      </c>
      <c r="AA178" t="s">
        <v>661</v>
      </c>
    </row>
    <row r="179" hidden="1" spans="1:27">
      <c r="A179" t="s">
        <v>214</v>
      </c>
      <c r="B179">
        <v>3</v>
      </c>
      <c r="C179">
        <v>34</v>
      </c>
      <c r="D179" t="s">
        <v>658</v>
      </c>
      <c r="E179">
        <v>3.439</v>
      </c>
      <c r="F179">
        <v>2.8</v>
      </c>
      <c r="G179">
        <v>0.069</v>
      </c>
      <c r="H179">
        <v>2.671</v>
      </c>
      <c r="I179">
        <v>2.46428571428571</v>
      </c>
      <c r="J179">
        <v>95.3928571428571</v>
      </c>
      <c r="K179">
        <v>81.41901715615</v>
      </c>
      <c r="L179">
        <v>2.00639720849084</v>
      </c>
      <c r="M179">
        <v>0.0600000000000001</v>
      </c>
      <c r="N179">
        <v>2.14285714285714</v>
      </c>
      <c r="O179">
        <v>2.731</v>
      </c>
      <c r="P179" t="s">
        <v>659</v>
      </c>
      <c r="R179">
        <v>0</v>
      </c>
      <c r="S179">
        <v>579</v>
      </c>
      <c r="T179">
        <v>593</v>
      </c>
      <c r="U179">
        <v>584</v>
      </c>
      <c r="V179">
        <v>581</v>
      </c>
      <c r="W179">
        <v>1</v>
      </c>
      <c r="X179">
        <v>1</v>
      </c>
      <c r="Y179" t="s">
        <v>812</v>
      </c>
      <c r="Z179" t="s">
        <v>526</v>
      </c>
      <c r="AA179" t="s">
        <v>661</v>
      </c>
    </row>
    <row r="180" hidden="1" spans="1:27">
      <c r="A180" t="s">
        <v>303</v>
      </c>
      <c r="B180">
        <v>2</v>
      </c>
      <c r="C180">
        <v>9</v>
      </c>
      <c r="D180" t="s">
        <v>658</v>
      </c>
      <c r="E180">
        <v>4.04</v>
      </c>
      <c r="F180">
        <v>3.4</v>
      </c>
      <c r="G180">
        <v>0.081</v>
      </c>
      <c r="H180">
        <v>3.326</v>
      </c>
      <c r="I180">
        <v>2.38235294117647</v>
      </c>
      <c r="J180">
        <v>97.8235294117647</v>
      </c>
      <c r="K180">
        <v>84.1584158415842</v>
      </c>
      <c r="L180">
        <v>2.0049504950495</v>
      </c>
      <c r="M180">
        <v>-0.00700000000000012</v>
      </c>
      <c r="N180">
        <v>0.20588235294118</v>
      </c>
      <c r="O180">
        <v>3.319</v>
      </c>
      <c r="P180" t="s">
        <v>659</v>
      </c>
      <c r="R180">
        <v>0</v>
      </c>
      <c r="S180">
        <v>172</v>
      </c>
      <c r="T180">
        <v>186</v>
      </c>
      <c r="U180">
        <v>177</v>
      </c>
      <c r="V180">
        <v>174</v>
      </c>
      <c r="W180">
        <v>1</v>
      </c>
      <c r="X180">
        <v>1</v>
      </c>
      <c r="Y180" t="s">
        <v>813</v>
      </c>
      <c r="Z180" t="s">
        <v>530</v>
      </c>
      <c r="AA180" t="s">
        <v>661</v>
      </c>
    </row>
    <row r="181" hidden="1" spans="1:27">
      <c r="A181" t="s">
        <v>318</v>
      </c>
      <c r="B181">
        <v>3</v>
      </c>
      <c r="C181">
        <v>21</v>
      </c>
      <c r="D181" t="s">
        <v>658</v>
      </c>
      <c r="E181">
        <v>2.61</v>
      </c>
      <c r="F181">
        <v>1.9</v>
      </c>
      <c r="G181">
        <v>0.044</v>
      </c>
      <c r="H181">
        <v>1.873</v>
      </c>
      <c r="I181">
        <v>2.31578947368421</v>
      </c>
      <c r="J181">
        <v>98.5789473684211</v>
      </c>
      <c r="K181">
        <v>72.7969348659004</v>
      </c>
      <c r="L181">
        <v>1.68582375478927</v>
      </c>
      <c r="M181">
        <v>-0.0170000000000001</v>
      </c>
      <c r="N181">
        <v>0.89473684210527</v>
      </c>
      <c r="O181">
        <v>1.856</v>
      </c>
      <c r="P181" t="s">
        <v>659</v>
      </c>
      <c r="R181">
        <v>0</v>
      </c>
      <c r="S181">
        <v>341</v>
      </c>
      <c r="T181">
        <v>355</v>
      </c>
      <c r="U181">
        <v>346</v>
      </c>
      <c r="V181">
        <v>343</v>
      </c>
      <c r="W181">
        <v>1</v>
      </c>
      <c r="X181">
        <v>1</v>
      </c>
      <c r="Y181" t="s">
        <v>814</v>
      </c>
      <c r="Z181" t="s">
        <v>531</v>
      </c>
      <c r="AA181" t="s">
        <v>661</v>
      </c>
    </row>
    <row r="182" hidden="1" spans="1:27">
      <c r="A182" t="s">
        <v>280</v>
      </c>
      <c r="B182">
        <v>2</v>
      </c>
      <c r="C182">
        <v>20</v>
      </c>
      <c r="D182" t="s">
        <v>658</v>
      </c>
      <c r="E182">
        <v>4.942</v>
      </c>
      <c r="F182">
        <v>4.3</v>
      </c>
      <c r="G182">
        <v>0.097</v>
      </c>
      <c r="H182">
        <v>4.191</v>
      </c>
      <c r="I182">
        <v>2.25581395348837</v>
      </c>
      <c r="J182">
        <v>97.4651162790698</v>
      </c>
      <c r="K182">
        <v>87.0093079724808</v>
      </c>
      <c r="L182">
        <v>1.96276811007689</v>
      </c>
      <c r="M182">
        <v>0.0119999999999996</v>
      </c>
      <c r="N182">
        <v>0.27906976744185</v>
      </c>
      <c r="O182">
        <v>4.203</v>
      </c>
      <c r="P182" t="s">
        <v>659</v>
      </c>
      <c r="R182">
        <v>0</v>
      </c>
      <c r="S182">
        <v>372</v>
      </c>
      <c r="T182">
        <v>386</v>
      </c>
      <c r="U182">
        <v>377</v>
      </c>
      <c r="V182">
        <v>374</v>
      </c>
      <c r="W182">
        <v>1</v>
      </c>
      <c r="X182">
        <v>1</v>
      </c>
      <c r="Y182" t="s">
        <v>815</v>
      </c>
      <c r="Z182" t="s">
        <v>529</v>
      </c>
      <c r="AA182" t="s">
        <v>661</v>
      </c>
    </row>
    <row r="183" hidden="1" spans="1:27">
      <c r="A183" t="s">
        <v>318</v>
      </c>
      <c r="B183">
        <v>3</v>
      </c>
      <c r="C183">
        <v>9</v>
      </c>
      <c r="D183" t="s">
        <v>658</v>
      </c>
      <c r="E183">
        <v>4.359</v>
      </c>
      <c r="F183">
        <v>3.6</v>
      </c>
      <c r="G183">
        <v>0.08</v>
      </c>
      <c r="H183">
        <v>3.446</v>
      </c>
      <c r="I183">
        <v>2.22222222222222</v>
      </c>
      <c r="J183">
        <v>95.7222222222222</v>
      </c>
      <c r="K183">
        <v>82.5877494838266</v>
      </c>
      <c r="L183">
        <v>1.83528332186281</v>
      </c>
      <c r="M183">
        <v>0.0739999999999998</v>
      </c>
      <c r="N183">
        <v>2.05555555555555</v>
      </c>
      <c r="O183">
        <v>3.52</v>
      </c>
      <c r="P183" t="s">
        <v>659</v>
      </c>
      <c r="R183">
        <v>0</v>
      </c>
      <c r="S183">
        <v>146</v>
      </c>
      <c r="T183">
        <v>160</v>
      </c>
      <c r="U183">
        <v>151</v>
      </c>
      <c r="V183">
        <v>148</v>
      </c>
      <c r="W183">
        <v>1</v>
      </c>
      <c r="X183">
        <v>1</v>
      </c>
      <c r="Y183" t="s">
        <v>816</v>
      </c>
      <c r="Z183" t="s">
        <v>531</v>
      </c>
      <c r="AA183" t="s">
        <v>661</v>
      </c>
    </row>
    <row r="184" hidden="1" spans="1:27">
      <c r="A184" t="s">
        <v>318</v>
      </c>
      <c r="B184">
        <v>3</v>
      </c>
      <c r="C184">
        <v>29</v>
      </c>
      <c r="D184" t="s">
        <v>658</v>
      </c>
      <c r="E184">
        <v>1.422</v>
      </c>
      <c r="F184">
        <v>0.8</v>
      </c>
      <c r="G184">
        <v>0.017</v>
      </c>
      <c r="H184">
        <v>0.702</v>
      </c>
      <c r="I184">
        <v>2.125</v>
      </c>
      <c r="J184">
        <v>87.75</v>
      </c>
      <c r="K184">
        <v>56.2587904360056</v>
      </c>
      <c r="L184">
        <v>1.19549929676512</v>
      </c>
      <c r="M184">
        <v>0.0810000000000001</v>
      </c>
      <c r="N184">
        <v>10.125</v>
      </c>
      <c r="O184">
        <v>0.783</v>
      </c>
      <c r="P184" t="s">
        <v>659</v>
      </c>
      <c r="R184">
        <v>0</v>
      </c>
      <c r="S184">
        <v>474</v>
      </c>
      <c r="T184">
        <v>488</v>
      </c>
      <c r="U184">
        <v>479</v>
      </c>
      <c r="V184">
        <v>476</v>
      </c>
      <c r="W184">
        <v>1</v>
      </c>
      <c r="X184">
        <v>1</v>
      </c>
      <c r="Y184" t="s">
        <v>742</v>
      </c>
      <c r="Z184" t="s">
        <v>531</v>
      </c>
      <c r="AA184" t="s">
        <v>661</v>
      </c>
    </row>
    <row r="185" hidden="1" spans="1:27">
      <c r="A185" t="s">
        <v>214</v>
      </c>
      <c r="B185">
        <v>3</v>
      </c>
      <c r="C185">
        <v>30</v>
      </c>
      <c r="D185" t="s">
        <v>658</v>
      </c>
      <c r="E185">
        <v>3.642</v>
      </c>
      <c r="F185">
        <v>3</v>
      </c>
      <c r="G185">
        <v>0.061</v>
      </c>
      <c r="H185">
        <v>2.883</v>
      </c>
      <c r="I185">
        <v>2.03333333333333</v>
      </c>
      <c r="J185">
        <v>96.1</v>
      </c>
      <c r="K185">
        <v>82.3723228995058</v>
      </c>
      <c r="L185">
        <v>1.67490389895662</v>
      </c>
      <c r="M185">
        <v>0.056</v>
      </c>
      <c r="N185">
        <v>1.86666666666667</v>
      </c>
      <c r="O185">
        <v>2.939</v>
      </c>
      <c r="P185" t="s">
        <v>659</v>
      </c>
      <c r="R185">
        <v>0</v>
      </c>
      <c r="S185">
        <v>515</v>
      </c>
      <c r="T185">
        <v>529</v>
      </c>
      <c r="U185">
        <v>520</v>
      </c>
      <c r="V185">
        <v>517</v>
      </c>
      <c r="W185">
        <v>1</v>
      </c>
      <c r="X185">
        <v>1</v>
      </c>
      <c r="Y185" t="s">
        <v>817</v>
      </c>
      <c r="Z185" t="s">
        <v>526</v>
      </c>
      <c r="AA185" t="s">
        <v>661</v>
      </c>
    </row>
    <row r="186" hidden="1" spans="1:27">
      <c r="A186" t="s">
        <v>318</v>
      </c>
      <c r="B186">
        <v>3</v>
      </c>
      <c r="C186">
        <v>20</v>
      </c>
      <c r="D186" t="s">
        <v>658</v>
      </c>
      <c r="E186">
        <v>4.081</v>
      </c>
      <c r="F186">
        <v>2.3</v>
      </c>
      <c r="G186">
        <v>0.045</v>
      </c>
      <c r="H186">
        <v>2.162</v>
      </c>
      <c r="I186">
        <v>1.95652173913044</v>
      </c>
      <c r="J186">
        <v>94</v>
      </c>
      <c r="K186">
        <v>56.3587356040186</v>
      </c>
      <c r="L186">
        <v>1.10267091399167</v>
      </c>
      <c r="M186">
        <v>0.093</v>
      </c>
      <c r="N186">
        <v>4.04347826086956</v>
      </c>
      <c r="O186">
        <v>2.255</v>
      </c>
      <c r="P186" t="s">
        <v>659</v>
      </c>
      <c r="R186">
        <v>0</v>
      </c>
      <c r="S186">
        <v>325</v>
      </c>
      <c r="T186">
        <v>339</v>
      </c>
      <c r="U186">
        <v>330</v>
      </c>
      <c r="V186">
        <v>327</v>
      </c>
      <c r="W186">
        <v>1</v>
      </c>
      <c r="X186">
        <v>1</v>
      </c>
      <c r="Y186" t="s">
        <v>818</v>
      </c>
      <c r="Z186" t="s">
        <v>531</v>
      </c>
      <c r="AA186" t="s">
        <v>661</v>
      </c>
    </row>
    <row r="187" hidden="1" spans="1:27">
      <c r="A187" t="s">
        <v>318</v>
      </c>
      <c r="B187">
        <v>3</v>
      </c>
      <c r="C187">
        <v>14</v>
      </c>
      <c r="D187" t="s">
        <v>658</v>
      </c>
      <c r="E187">
        <v>3.37</v>
      </c>
      <c r="F187">
        <v>2.1</v>
      </c>
      <c r="G187">
        <v>0.041</v>
      </c>
      <c r="H187">
        <v>1.987</v>
      </c>
      <c r="I187">
        <v>1.95238095238095</v>
      </c>
      <c r="J187">
        <v>94.6190476190476</v>
      </c>
      <c r="K187">
        <v>62.3145400593472</v>
      </c>
      <c r="L187">
        <v>1.21661721068249</v>
      </c>
      <c r="M187">
        <v>0.0720000000000001</v>
      </c>
      <c r="N187">
        <v>3.42857142857143</v>
      </c>
      <c r="O187">
        <v>2.059</v>
      </c>
      <c r="P187" t="s">
        <v>659</v>
      </c>
      <c r="R187">
        <v>0</v>
      </c>
      <c r="S187">
        <v>226</v>
      </c>
      <c r="T187">
        <v>240</v>
      </c>
      <c r="U187">
        <v>231</v>
      </c>
      <c r="V187">
        <v>228</v>
      </c>
      <c r="W187">
        <v>1</v>
      </c>
      <c r="X187">
        <v>1</v>
      </c>
      <c r="Y187" t="s">
        <v>819</v>
      </c>
      <c r="Z187" t="s">
        <v>531</v>
      </c>
      <c r="AA187" t="s">
        <v>661</v>
      </c>
    </row>
    <row r="188" hidden="1" spans="1:27">
      <c r="A188" t="s">
        <v>334</v>
      </c>
      <c r="B188">
        <v>3</v>
      </c>
      <c r="C188">
        <v>9</v>
      </c>
      <c r="D188" t="s">
        <v>658</v>
      </c>
      <c r="E188">
        <v>33.428</v>
      </c>
      <c r="F188">
        <v>32.4</v>
      </c>
      <c r="G188">
        <v>0.577</v>
      </c>
      <c r="H188">
        <v>31.813</v>
      </c>
      <c r="I188">
        <v>1.78086419753086</v>
      </c>
      <c r="J188">
        <v>98.1882716049383</v>
      </c>
      <c r="K188">
        <v>96.9247337561326</v>
      </c>
      <c r="L188">
        <v>1.72609788201508</v>
      </c>
      <c r="M188">
        <v>0.00999999999999801</v>
      </c>
      <c r="N188">
        <v>0.0308641975308581</v>
      </c>
      <c r="O188">
        <v>31.823</v>
      </c>
      <c r="P188" t="s">
        <v>659</v>
      </c>
      <c r="R188">
        <v>0</v>
      </c>
      <c r="S188">
        <v>169</v>
      </c>
      <c r="T188">
        <v>183</v>
      </c>
      <c r="U188">
        <v>174</v>
      </c>
      <c r="V188">
        <v>171</v>
      </c>
      <c r="W188">
        <v>1</v>
      </c>
      <c r="X188">
        <v>1</v>
      </c>
      <c r="Y188" t="s">
        <v>820</v>
      </c>
      <c r="Z188" t="s">
        <v>532</v>
      </c>
      <c r="AA188" t="s">
        <v>661</v>
      </c>
    </row>
    <row r="189" hidden="1" spans="1:27">
      <c r="A189" t="s">
        <v>280</v>
      </c>
      <c r="B189">
        <v>2</v>
      </c>
      <c r="C189">
        <v>11</v>
      </c>
      <c r="D189" t="s">
        <v>739</v>
      </c>
      <c r="E189">
        <v>1.116</v>
      </c>
      <c r="F189">
        <v>0.8</v>
      </c>
      <c r="G189">
        <v>0.014</v>
      </c>
      <c r="H189">
        <v>0.723</v>
      </c>
      <c r="I189">
        <v>1.75</v>
      </c>
      <c r="J189">
        <v>90.375</v>
      </c>
      <c r="K189">
        <v>71.6845878136201</v>
      </c>
      <c r="L189">
        <v>1.25448028673835</v>
      </c>
      <c r="M189">
        <v>0.0630000000000001</v>
      </c>
      <c r="N189">
        <v>7.87500000000001</v>
      </c>
      <c r="O189">
        <v>0.786</v>
      </c>
      <c r="P189" t="s">
        <v>659</v>
      </c>
      <c r="R189">
        <v>0</v>
      </c>
      <c r="S189">
        <v>205</v>
      </c>
      <c r="T189">
        <v>219</v>
      </c>
      <c r="U189">
        <v>210</v>
      </c>
      <c r="V189">
        <v>207</v>
      </c>
      <c r="W189">
        <v>1</v>
      </c>
      <c r="X189">
        <v>1</v>
      </c>
      <c r="Y189" t="s">
        <v>821</v>
      </c>
      <c r="Z189" t="s">
        <v>529</v>
      </c>
      <c r="AA189" t="s">
        <v>661</v>
      </c>
    </row>
    <row r="190" hidden="1" spans="1:27">
      <c r="A190" t="s">
        <v>318</v>
      </c>
      <c r="B190">
        <v>3</v>
      </c>
      <c r="C190">
        <v>22</v>
      </c>
      <c r="D190" t="s">
        <v>658</v>
      </c>
      <c r="E190">
        <v>3.029</v>
      </c>
      <c r="F190">
        <v>2.2</v>
      </c>
      <c r="G190">
        <v>0.038</v>
      </c>
      <c r="H190">
        <v>2.083</v>
      </c>
      <c r="I190">
        <v>1.72727272727273</v>
      </c>
      <c r="J190">
        <v>94.6818181818182</v>
      </c>
      <c r="K190">
        <v>72.6312314295147</v>
      </c>
      <c r="L190">
        <v>1.25453945196434</v>
      </c>
      <c r="M190">
        <v>0.0790000000000002</v>
      </c>
      <c r="N190">
        <v>3.5909090909091</v>
      </c>
      <c r="O190">
        <v>2.162</v>
      </c>
      <c r="P190" t="s">
        <v>659</v>
      </c>
      <c r="R190">
        <v>0</v>
      </c>
      <c r="S190">
        <v>358</v>
      </c>
      <c r="T190">
        <v>372</v>
      </c>
      <c r="U190">
        <v>363</v>
      </c>
      <c r="V190">
        <v>360</v>
      </c>
      <c r="W190">
        <v>1</v>
      </c>
      <c r="X190">
        <v>1</v>
      </c>
      <c r="Y190" t="s">
        <v>822</v>
      </c>
      <c r="Z190" t="s">
        <v>531</v>
      </c>
      <c r="AA190" t="s">
        <v>661</v>
      </c>
    </row>
    <row r="191" hidden="1" spans="1:27">
      <c r="A191" t="s">
        <v>318</v>
      </c>
      <c r="B191">
        <v>3</v>
      </c>
      <c r="C191">
        <v>15</v>
      </c>
      <c r="D191" t="s">
        <v>658</v>
      </c>
      <c r="E191">
        <v>2.89</v>
      </c>
      <c r="F191">
        <v>2.3</v>
      </c>
      <c r="G191">
        <v>0.039</v>
      </c>
      <c r="H191">
        <v>2.185</v>
      </c>
      <c r="I191">
        <v>1.69565217391304</v>
      </c>
      <c r="J191">
        <v>95</v>
      </c>
      <c r="K191">
        <v>79.5847750865052</v>
      </c>
      <c r="L191">
        <v>1.34948096885813</v>
      </c>
      <c r="M191">
        <v>0.0759999999999996</v>
      </c>
      <c r="N191">
        <v>3.30434782608694</v>
      </c>
      <c r="O191">
        <v>2.261</v>
      </c>
      <c r="P191" t="s">
        <v>659</v>
      </c>
      <c r="R191">
        <v>0</v>
      </c>
      <c r="S191">
        <v>243</v>
      </c>
      <c r="T191">
        <v>257</v>
      </c>
      <c r="U191">
        <v>248</v>
      </c>
      <c r="V191">
        <v>245</v>
      </c>
      <c r="W191">
        <v>1</v>
      </c>
      <c r="X191">
        <v>1</v>
      </c>
      <c r="Y191" t="s">
        <v>823</v>
      </c>
      <c r="Z191" t="s">
        <v>531</v>
      </c>
      <c r="AA191" t="s">
        <v>661</v>
      </c>
    </row>
    <row r="192" hidden="1" spans="1:27">
      <c r="A192" t="s">
        <v>318</v>
      </c>
      <c r="B192">
        <v>3</v>
      </c>
      <c r="C192">
        <v>13</v>
      </c>
      <c r="D192" t="s">
        <v>658</v>
      </c>
      <c r="E192">
        <v>2.381</v>
      </c>
      <c r="F192">
        <v>1.8</v>
      </c>
      <c r="G192">
        <v>0.029</v>
      </c>
      <c r="H192">
        <v>1.753</v>
      </c>
      <c r="I192">
        <v>1.61111111111111</v>
      </c>
      <c r="J192">
        <v>97.3888888888889</v>
      </c>
      <c r="K192">
        <v>75.5984880302394</v>
      </c>
      <c r="L192">
        <v>1.21797564048719</v>
      </c>
      <c r="M192">
        <v>0.0180000000000002</v>
      </c>
      <c r="N192">
        <v>1.00000000000001</v>
      </c>
      <c r="O192">
        <v>1.771</v>
      </c>
      <c r="P192" t="s">
        <v>659</v>
      </c>
      <c r="R192">
        <v>0</v>
      </c>
      <c r="S192">
        <v>210</v>
      </c>
      <c r="T192">
        <v>224</v>
      </c>
      <c r="U192">
        <v>215</v>
      </c>
      <c r="V192">
        <v>212</v>
      </c>
      <c r="W192">
        <v>1</v>
      </c>
      <c r="X192">
        <v>1</v>
      </c>
      <c r="Y192" t="s">
        <v>819</v>
      </c>
      <c r="Z192" t="s">
        <v>531</v>
      </c>
      <c r="AA192" t="s">
        <v>661</v>
      </c>
    </row>
    <row r="193" hidden="1" spans="1:27">
      <c r="A193" t="s">
        <v>99</v>
      </c>
      <c r="B193">
        <v>1</v>
      </c>
      <c r="C193">
        <v>10</v>
      </c>
      <c r="D193" t="s">
        <v>658</v>
      </c>
      <c r="E193">
        <v>2.382</v>
      </c>
      <c r="F193">
        <v>2</v>
      </c>
      <c r="G193">
        <v>0.032</v>
      </c>
      <c r="H193">
        <v>1.947</v>
      </c>
      <c r="I193">
        <v>1.6</v>
      </c>
      <c r="J193">
        <v>97.35</v>
      </c>
      <c r="K193">
        <v>83.9630562552477</v>
      </c>
      <c r="L193">
        <v>1.34340890008396</v>
      </c>
      <c r="M193">
        <v>0.0209999999999999</v>
      </c>
      <c r="N193">
        <v>1.05</v>
      </c>
      <c r="O193">
        <v>1.968</v>
      </c>
      <c r="P193" t="s">
        <v>659</v>
      </c>
      <c r="R193">
        <v>0</v>
      </c>
      <c r="S193">
        <v>192</v>
      </c>
      <c r="T193">
        <v>206</v>
      </c>
      <c r="U193">
        <v>197</v>
      </c>
      <c r="V193">
        <v>194</v>
      </c>
      <c r="W193">
        <v>1</v>
      </c>
      <c r="X193">
        <v>1</v>
      </c>
      <c r="Y193" t="s">
        <v>824</v>
      </c>
      <c r="Z193" t="s">
        <v>522</v>
      </c>
      <c r="AA193" t="s">
        <v>661</v>
      </c>
    </row>
    <row r="194" hidden="1" spans="1:27">
      <c r="A194" t="s">
        <v>253</v>
      </c>
      <c r="B194">
        <v>1</v>
      </c>
      <c r="C194">
        <v>4</v>
      </c>
      <c r="D194" t="s">
        <v>658</v>
      </c>
      <c r="E194">
        <v>1.655</v>
      </c>
      <c r="F194">
        <v>1</v>
      </c>
      <c r="G194">
        <v>0.016</v>
      </c>
      <c r="H194">
        <v>0.978</v>
      </c>
      <c r="I194">
        <v>1.6</v>
      </c>
      <c r="J194">
        <v>97.8</v>
      </c>
      <c r="K194">
        <v>60.4229607250755</v>
      </c>
      <c r="L194">
        <v>0.966767371601208</v>
      </c>
      <c r="M194">
        <v>0.00600000000000001</v>
      </c>
      <c r="N194">
        <v>0.600000000000001</v>
      </c>
      <c r="O194">
        <v>0.984</v>
      </c>
      <c r="P194" t="s">
        <v>659</v>
      </c>
      <c r="R194">
        <v>0</v>
      </c>
      <c r="S194">
        <v>88</v>
      </c>
      <c r="T194">
        <v>102</v>
      </c>
      <c r="U194">
        <v>93</v>
      </c>
      <c r="V194">
        <v>90</v>
      </c>
      <c r="W194">
        <v>1</v>
      </c>
      <c r="X194">
        <v>1</v>
      </c>
      <c r="Y194" t="s">
        <v>825</v>
      </c>
      <c r="Z194" t="s">
        <v>527</v>
      </c>
      <c r="AA194" t="s">
        <v>661</v>
      </c>
    </row>
    <row r="195" hidden="1" spans="1:27">
      <c r="A195" t="s">
        <v>280</v>
      </c>
      <c r="B195">
        <v>2</v>
      </c>
      <c r="C195">
        <v>19</v>
      </c>
      <c r="D195" t="s">
        <v>658</v>
      </c>
      <c r="E195">
        <v>3.816</v>
      </c>
      <c r="F195">
        <v>3.2</v>
      </c>
      <c r="G195">
        <v>0.049</v>
      </c>
      <c r="H195">
        <v>3.119</v>
      </c>
      <c r="I195">
        <v>1.53125</v>
      </c>
      <c r="J195">
        <v>97.46875</v>
      </c>
      <c r="K195">
        <v>83.8574423480084</v>
      </c>
      <c r="L195">
        <v>1.28406708595388</v>
      </c>
      <c r="M195">
        <v>0.032</v>
      </c>
      <c r="N195">
        <v>1</v>
      </c>
      <c r="O195">
        <v>3.151</v>
      </c>
      <c r="P195" t="s">
        <v>659</v>
      </c>
      <c r="R195">
        <v>0</v>
      </c>
      <c r="S195">
        <v>353</v>
      </c>
      <c r="T195">
        <v>367</v>
      </c>
      <c r="U195">
        <v>358</v>
      </c>
      <c r="V195">
        <v>355</v>
      </c>
      <c r="W195">
        <v>1</v>
      </c>
      <c r="X195">
        <v>1</v>
      </c>
      <c r="Y195" t="s">
        <v>826</v>
      </c>
      <c r="Z195" t="s">
        <v>529</v>
      </c>
      <c r="AA195" t="s">
        <v>661</v>
      </c>
    </row>
    <row r="196" hidden="1" spans="1:27">
      <c r="A196" t="s">
        <v>41</v>
      </c>
      <c r="B196">
        <v>1</v>
      </c>
      <c r="C196">
        <v>1</v>
      </c>
      <c r="D196" t="s">
        <v>658</v>
      </c>
      <c r="E196">
        <v>0.96</v>
      </c>
      <c r="F196">
        <v>0.6</v>
      </c>
      <c r="G196">
        <v>0.009</v>
      </c>
      <c r="H196">
        <v>0.601</v>
      </c>
      <c r="I196">
        <v>1.5</v>
      </c>
      <c r="J196">
        <v>100.166666666667</v>
      </c>
      <c r="K196">
        <v>62.5</v>
      </c>
      <c r="L196">
        <v>0.9375</v>
      </c>
      <c r="M196">
        <v>-0.01</v>
      </c>
      <c r="N196">
        <v>1.66666666666667</v>
      </c>
      <c r="O196">
        <v>0.591</v>
      </c>
      <c r="P196" t="s">
        <v>659</v>
      </c>
      <c r="R196">
        <v>0</v>
      </c>
      <c r="S196">
        <v>40</v>
      </c>
      <c r="T196">
        <v>54</v>
      </c>
      <c r="U196">
        <v>45</v>
      </c>
      <c r="V196">
        <v>42</v>
      </c>
      <c r="W196">
        <v>1</v>
      </c>
      <c r="X196">
        <v>1</v>
      </c>
      <c r="Y196" t="s">
        <v>687</v>
      </c>
      <c r="Z196" t="s">
        <v>520</v>
      </c>
      <c r="AA196" t="s">
        <v>661</v>
      </c>
    </row>
    <row r="197" hidden="1" spans="1:27">
      <c r="A197" t="s">
        <v>318</v>
      </c>
      <c r="B197">
        <v>3</v>
      </c>
      <c r="C197">
        <v>11</v>
      </c>
      <c r="D197" t="s">
        <v>658</v>
      </c>
      <c r="E197">
        <v>2.3</v>
      </c>
      <c r="F197">
        <v>1.9</v>
      </c>
      <c r="G197">
        <v>0.028</v>
      </c>
      <c r="H197">
        <v>1.803</v>
      </c>
      <c r="I197">
        <v>1.47368421052632</v>
      </c>
      <c r="J197">
        <v>94.8947368421053</v>
      </c>
      <c r="K197">
        <v>82.6086956521739</v>
      </c>
      <c r="L197">
        <v>1.21739130434783</v>
      </c>
      <c r="M197">
        <v>0.0689999999999999</v>
      </c>
      <c r="N197">
        <v>3.63157894736842</v>
      </c>
      <c r="O197">
        <v>1.872</v>
      </c>
      <c r="P197" t="s">
        <v>659</v>
      </c>
      <c r="R197">
        <v>0</v>
      </c>
      <c r="S197">
        <v>178</v>
      </c>
      <c r="T197">
        <v>192</v>
      </c>
      <c r="U197">
        <v>183</v>
      </c>
      <c r="V197">
        <v>180</v>
      </c>
      <c r="W197">
        <v>1</v>
      </c>
      <c r="X197">
        <v>1</v>
      </c>
      <c r="Y197" t="s">
        <v>827</v>
      </c>
      <c r="Z197" t="s">
        <v>531</v>
      </c>
      <c r="AA197" t="s">
        <v>661</v>
      </c>
    </row>
    <row r="198" hidden="1" spans="1:27">
      <c r="A198" t="s">
        <v>99</v>
      </c>
      <c r="B198">
        <v>1</v>
      </c>
      <c r="C198">
        <v>12</v>
      </c>
      <c r="D198" t="s">
        <v>658</v>
      </c>
      <c r="E198">
        <v>5.526</v>
      </c>
      <c r="F198">
        <v>5</v>
      </c>
      <c r="G198">
        <v>0.073</v>
      </c>
      <c r="H198">
        <v>4.885</v>
      </c>
      <c r="I198">
        <v>1.46</v>
      </c>
      <c r="J198">
        <v>97.7</v>
      </c>
      <c r="K198">
        <v>90.481360839667</v>
      </c>
      <c r="L198">
        <v>1.32102786825914</v>
      </c>
      <c r="M198">
        <v>0.0419999999999998</v>
      </c>
      <c r="N198">
        <v>0.839999999999996</v>
      </c>
      <c r="O198">
        <v>4.927</v>
      </c>
      <c r="P198" t="s">
        <v>659</v>
      </c>
      <c r="R198">
        <v>0</v>
      </c>
      <c r="S198">
        <v>225</v>
      </c>
      <c r="T198">
        <v>239</v>
      </c>
      <c r="U198">
        <v>230</v>
      </c>
      <c r="V198">
        <v>227</v>
      </c>
      <c r="W198">
        <v>1</v>
      </c>
      <c r="X198">
        <v>1</v>
      </c>
      <c r="Y198" t="s">
        <v>792</v>
      </c>
      <c r="Z198" t="s">
        <v>522</v>
      </c>
      <c r="AA198" t="s">
        <v>661</v>
      </c>
    </row>
    <row r="199" hidden="1" spans="1:27">
      <c r="A199" t="s">
        <v>318</v>
      </c>
      <c r="B199">
        <v>3</v>
      </c>
      <c r="C199">
        <v>17</v>
      </c>
      <c r="D199" t="s">
        <v>658</v>
      </c>
      <c r="E199">
        <v>2.838</v>
      </c>
      <c r="F199">
        <v>2.2</v>
      </c>
      <c r="G199">
        <v>0.032</v>
      </c>
      <c r="H199">
        <v>2.104</v>
      </c>
      <c r="I199">
        <v>1.45454545454545</v>
      </c>
      <c r="J199">
        <v>95.6363636363636</v>
      </c>
      <c r="K199">
        <v>77.5193798449613</v>
      </c>
      <c r="L199">
        <v>1.12755461592671</v>
      </c>
      <c r="M199">
        <v>0.0640000000000001</v>
      </c>
      <c r="N199">
        <v>2.90909090909091</v>
      </c>
      <c r="O199">
        <v>2.168</v>
      </c>
      <c r="P199" t="s">
        <v>659</v>
      </c>
      <c r="R199">
        <v>0</v>
      </c>
      <c r="S199">
        <v>275</v>
      </c>
      <c r="T199">
        <v>289</v>
      </c>
      <c r="U199">
        <v>280</v>
      </c>
      <c r="V199">
        <v>277</v>
      </c>
      <c r="W199">
        <v>1</v>
      </c>
      <c r="X199">
        <v>1</v>
      </c>
      <c r="Y199" t="s">
        <v>828</v>
      </c>
      <c r="Z199" t="s">
        <v>531</v>
      </c>
      <c r="AA199" t="s">
        <v>661</v>
      </c>
    </row>
    <row r="200" hidden="1" spans="1:27">
      <c r="A200" t="s">
        <v>99</v>
      </c>
      <c r="B200">
        <v>1</v>
      </c>
      <c r="C200">
        <v>9</v>
      </c>
      <c r="D200" t="s">
        <v>658</v>
      </c>
      <c r="E200">
        <v>2.792</v>
      </c>
      <c r="F200">
        <v>2.4</v>
      </c>
      <c r="G200">
        <v>0.034</v>
      </c>
      <c r="H200">
        <v>2.319</v>
      </c>
      <c r="I200">
        <v>1.41666666666667</v>
      </c>
      <c r="J200">
        <v>96.625</v>
      </c>
      <c r="K200">
        <v>85.9598853868195</v>
      </c>
      <c r="L200">
        <v>1.21776504297994</v>
      </c>
      <c r="M200">
        <v>0.0470000000000002</v>
      </c>
      <c r="N200">
        <v>1.95833333333334</v>
      </c>
      <c r="O200">
        <v>2.366</v>
      </c>
      <c r="P200" t="s">
        <v>659</v>
      </c>
      <c r="R200">
        <v>0</v>
      </c>
      <c r="S200">
        <v>176</v>
      </c>
      <c r="T200">
        <v>190</v>
      </c>
      <c r="U200">
        <v>181</v>
      </c>
      <c r="V200">
        <v>178</v>
      </c>
      <c r="W200">
        <v>1</v>
      </c>
      <c r="X200">
        <v>1</v>
      </c>
      <c r="Y200" t="s">
        <v>829</v>
      </c>
      <c r="Z200" t="s">
        <v>522</v>
      </c>
      <c r="AA200" t="s">
        <v>661</v>
      </c>
    </row>
    <row r="201" hidden="1" spans="1:27">
      <c r="A201" t="s">
        <v>318</v>
      </c>
      <c r="B201">
        <v>3</v>
      </c>
      <c r="C201">
        <v>16</v>
      </c>
      <c r="D201" t="s">
        <v>658</v>
      </c>
      <c r="E201">
        <v>3.672</v>
      </c>
      <c r="F201">
        <v>1.8</v>
      </c>
      <c r="G201">
        <v>0.025</v>
      </c>
      <c r="H201">
        <v>1.761</v>
      </c>
      <c r="I201">
        <v>1.38888888888889</v>
      </c>
      <c r="J201">
        <v>97.8333333333333</v>
      </c>
      <c r="K201">
        <v>49.0196078431373</v>
      </c>
      <c r="L201">
        <v>0.68082788671024</v>
      </c>
      <c r="M201">
        <v>0.0140000000000002</v>
      </c>
      <c r="N201">
        <v>0.777777777777791</v>
      </c>
      <c r="O201">
        <v>1.775</v>
      </c>
      <c r="P201" t="s">
        <v>659</v>
      </c>
      <c r="R201">
        <v>0</v>
      </c>
      <c r="S201">
        <v>259</v>
      </c>
      <c r="T201">
        <v>273</v>
      </c>
      <c r="U201">
        <v>264</v>
      </c>
      <c r="V201">
        <v>261</v>
      </c>
      <c r="W201">
        <v>1</v>
      </c>
      <c r="X201">
        <v>1</v>
      </c>
      <c r="Y201" t="s">
        <v>830</v>
      </c>
      <c r="Z201" t="s">
        <v>531</v>
      </c>
      <c r="AA201" t="s">
        <v>661</v>
      </c>
    </row>
    <row r="202" hidden="1" spans="1:27">
      <c r="A202" t="s">
        <v>253</v>
      </c>
      <c r="B202">
        <v>1</v>
      </c>
      <c r="C202">
        <v>5</v>
      </c>
      <c r="D202" t="s">
        <v>658</v>
      </c>
      <c r="E202">
        <v>3.256</v>
      </c>
      <c r="F202">
        <v>2.7</v>
      </c>
      <c r="G202">
        <v>0.037</v>
      </c>
      <c r="H202">
        <v>2.641</v>
      </c>
      <c r="I202">
        <v>1.37037037037037</v>
      </c>
      <c r="J202">
        <v>97.8148148148148</v>
      </c>
      <c r="K202">
        <v>82.9238329238329</v>
      </c>
      <c r="L202">
        <v>1.13636363636364</v>
      </c>
      <c r="M202">
        <v>0.0220000000000002</v>
      </c>
      <c r="N202">
        <v>0.814814814814824</v>
      </c>
      <c r="O202">
        <v>2.663</v>
      </c>
      <c r="P202" t="s">
        <v>659</v>
      </c>
      <c r="R202">
        <v>0</v>
      </c>
      <c r="S202">
        <v>104</v>
      </c>
      <c r="T202">
        <v>118</v>
      </c>
      <c r="U202">
        <v>109</v>
      </c>
      <c r="V202">
        <v>106</v>
      </c>
      <c r="W202">
        <v>1</v>
      </c>
      <c r="X202">
        <v>1</v>
      </c>
      <c r="Y202" t="s">
        <v>831</v>
      </c>
      <c r="Z202" t="s">
        <v>527</v>
      </c>
      <c r="AA202" t="s">
        <v>661</v>
      </c>
    </row>
    <row r="203" hidden="1" spans="1:27">
      <c r="A203" t="s">
        <v>280</v>
      </c>
      <c r="B203">
        <v>2</v>
      </c>
      <c r="C203">
        <v>13</v>
      </c>
      <c r="D203" t="s">
        <v>798</v>
      </c>
      <c r="E203">
        <v>8.767</v>
      </c>
      <c r="F203">
        <v>8</v>
      </c>
      <c r="G203">
        <v>0.106</v>
      </c>
      <c r="H203">
        <v>7.892</v>
      </c>
      <c r="I203">
        <v>1.325</v>
      </c>
      <c r="J203">
        <v>98.65</v>
      </c>
      <c r="K203">
        <v>91.2512832211703</v>
      </c>
      <c r="L203">
        <v>1.20907950268051</v>
      </c>
      <c r="M203">
        <v>0.00199999999999978</v>
      </c>
      <c r="N203">
        <v>0.0249999999999972</v>
      </c>
      <c r="O203">
        <v>7.894</v>
      </c>
      <c r="P203" t="s">
        <v>659</v>
      </c>
      <c r="R203">
        <v>0</v>
      </c>
      <c r="S203">
        <v>245</v>
      </c>
      <c r="T203">
        <v>259</v>
      </c>
      <c r="U203">
        <v>250</v>
      </c>
      <c r="V203">
        <v>247</v>
      </c>
      <c r="W203">
        <v>1</v>
      </c>
      <c r="X203">
        <v>1</v>
      </c>
      <c r="Y203" t="s">
        <v>832</v>
      </c>
      <c r="Z203" t="s">
        <v>529</v>
      </c>
      <c r="AA203" t="s">
        <v>661</v>
      </c>
    </row>
    <row r="204" hidden="1" spans="1:27">
      <c r="A204" t="s">
        <v>280</v>
      </c>
      <c r="B204">
        <v>2</v>
      </c>
      <c r="C204">
        <v>25</v>
      </c>
      <c r="D204" t="s">
        <v>658</v>
      </c>
      <c r="E204">
        <v>3.73</v>
      </c>
      <c r="F204">
        <v>3.1</v>
      </c>
      <c r="G204">
        <v>0.041</v>
      </c>
      <c r="H204">
        <v>3.019</v>
      </c>
      <c r="I204">
        <v>1.32258064516129</v>
      </c>
      <c r="J204">
        <v>97.3870967741936</v>
      </c>
      <c r="K204">
        <v>83.1099195710456</v>
      </c>
      <c r="L204">
        <v>1.09919571045576</v>
      </c>
      <c r="M204">
        <v>0.04</v>
      </c>
      <c r="N204">
        <v>1.29032258064516</v>
      </c>
      <c r="O204">
        <v>3.059</v>
      </c>
      <c r="P204" t="s">
        <v>659</v>
      </c>
      <c r="R204">
        <v>0</v>
      </c>
      <c r="S204">
        <v>463</v>
      </c>
      <c r="T204">
        <v>477</v>
      </c>
      <c r="U204">
        <v>468</v>
      </c>
      <c r="V204">
        <v>465</v>
      </c>
      <c r="W204">
        <v>1</v>
      </c>
      <c r="X204">
        <v>1</v>
      </c>
      <c r="Y204" t="s">
        <v>833</v>
      </c>
      <c r="Z204" t="s">
        <v>529</v>
      </c>
      <c r="AA204" t="s">
        <v>661</v>
      </c>
    </row>
    <row r="205" hidden="1" spans="1:27">
      <c r="A205" t="s">
        <v>318</v>
      </c>
      <c r="B205">
        <v>3</v>
      </c>
      <c r="C205">
        <v>12</v>
      </c>
      <c r="D205" t="s">
        <v>658</v>
      </c>
      <c r="E205">
        <v>3.475</v>
      </c>
      <c r="F205">
        <v>1.9</v>
      </c>
      <c r="G205">
        <v>0.025</v>
      </c>
      <c r="H205">
        <v>1.799</v>
      </c>
      <c r="I205">
        <v>1.31578947368421</v>
      </c>
      <c r="J205">
        <v>94.6842105263158</v>
      </c>
      <c r="K205">
        <v>54.6762589928057</v>
      </c>
      <c r="L205">
        <v>0.719424460431655</v>
      </c>
      <c r="M205">
        <v>0.0760000000000001</v>
      </c>
      <c r="N205">
        <v>4</v>
      </c>
      <c r="O205">
        <v>1.875</v>
      </c>
      <c r="P205" t="s">
        <v>659</v>
      </c>
      <c r="R205">
        <v>0</v>
      </c>
      <c r="S205">
        <v>194</v>
      </c>
      <c r="T205">
        <v>208</v>
      </c>
      <c r="U205">
        <v>199</v>
      </c>
      <c r="V205">
        <v>196</v>
      </c>
      <c r="W205">
        <v>1</v>
      </c>
      <c r="X205">
        <v>1</v>
      </c>
      <c r="Y205" t="s">
        <v>834</v>
      </c>
      <c r="Z205" t="s">
        <v>531</v>
      </c>
      <c r="AA205" t="s">
        <v>661</v>
      </c>
    </row>
    <row r="206" hidden="1" spans="1:27">
      <c r="A206" t="s">
        <v>134</v>
      </c>
      <c r="B206">
        <v>3</v>
      </c>
      <c r="C206">
        <v>1</v>
      </c>
      <c r="D206" t="s">
        <v>658</v>
      </c>
      <c r="E206">
        <v>1.401</v>
      </c>
      <c r="F206">
        <v>1</v>
      </c>
      <c r="G206">
        <v>0.013</v>
      </c>
      <c r="H206">
        <v>0.921</v>
      </c>
      <c r="I206">
        <v>1.3</v>
      </c>
      <c r="J206">
        <v>92.1</v>
      </c>
      <c r="K206">
        <v>71.3775874375446</v>
      </c>
      <c r="L206">
        <v>0.92790863668808</v>
      </c>
      <c r="M206">
        <v>0.0659999999999999</v>
      </c>
      <c r="N206">
        <v>6.59999999999999</v>
      </c>
      <c r="O206">
        <v>0.987</v>
      </c>
      <c r="P206" t="s">
        <v>659</v>
      </c>
      <c r="R206">
        <v>0</v>
      </c>
      <c r="S206">
        <v>40</v>
      </c>
      <c r="T206">
        <v>54</v>
      </c>
      <c r="U206">
        <v>45</v>
      </c>
      <c r="V206">
        <v>42</v>
      </c>
      <c r="W206">
        <v>1</v>
      </c>
      <c r="X206">
        <v>1</v>
      </c>
      <c r="Y206" t="s">
        <v>687</v>
      </c>
      <c r="Z206" t="s">
        <v>523</v>
      </c>
      <c r="AA206" t="s">
        <v>661</v>
      </c>
    </row>
    <row r="207" hidden="1" spans="1:27">
      <c r="A207" t="s">
        <v>318</v>
      </c>
      <c r="B207">
        <v>3</v>
      </c>
      <c r="C207">
        <v>10</v>
      </c>
      <c r="D207" t="s">
        <v>658</v>
      </c>
      <c r="E207">
        <v>3.427</v>
      </c>
      <c r="F207">
        <v>3</v>
      </c>
      <c r="G207">
        <v>0.039</v>
      </c>
      <c r="H207">
        <v>2.853</v>
      </c>
      <c r="I207">
        <v>1.3</v>
      </c>
      <c r="J207">
        <v>95.1</v>
      </c>
      <c r="K207">
        <v>87.5401225561716</v>
      </c>
      <c r="L207">
        <v>1.13802159323023</v>
      </c>
      <c r="M207">
        <v>0.108</v>
      </c>
      <c r="N207">
        <v>3.59999999999999</v>
      </c>
      <c r="O207">
        <v>2.961</v>
      </c>
      <c r="P207" t="s">
        <v>659</v>
      </c>
      <c r="R207">
        <v>0</v>
      </c>
      <c r="S207">
        <v>162</v>
      </c>
      <c r="T207">
        <v>176</v>
      </c>
      <c r="U207">
        <v>167</v>
      </c>
      <c r="V207">
        <v>164</v>
      </c>
      <c r="W207">
        <v>1</v>
      </c>
      <c r="X207">
        <v>1</v>
      </c>
      <c r="Y207" t="s">
        <v>827</v>
      </c>
      <c r="Z207" t="s">
        <v>531</v>
      </c>
      <c r="AA207" t="s">
        <v>661</v>
      </c>
    </row>
    <row r="208" hidden="1" spans="1:27">
      <c r="A208" t="s">
        <v>280</v>
      </c>
      <c r="B208">
        <v>2</v>
      </c>
      <c r="C208">
        <v>24</v>
      </c>
      <c r="D208" t="s">
        <v>658</v>
      </c>
      <c r="E208">
        <v>5.064</v>
      </c>
      <c r="F208">
        <v>4.3</v>
      </c>
      <c r="G208">
        <v>0.055</v>
      </c>
      <c r="H208">
        <v>4.16</v>
      </c>
      <c r="I208">
        <v>1.27906976744186</v>
      </c>
      <c r="J208">
        <v>96.7441860465116</v>
      </c>
      <c r="K208">
        <v>84.913112164297</v>
      </c>
      <c r="L208">
        <v>1.08609794628752</v>
      </c>
      <c r="M208">
        <v>0.085</v>
      </c>
      <c r="N208">
        <v>1.97674418604651</v>
      </c>
      <c r="O208">
        <v>4.245</v>
      </c>
      <c r="P208" t="s">
        <v>659</v>
      </c>
      <c r="R208">
        <v>0</v>
      </c>
      <c r="S208">
        <v>445</v>
      </c>
      <c r="T208">
        <v>459</v>
      </c>
      <c r="U208">
        <v>450</v>
      </c>
      <c r="V208">
        <v>447</v>
      </c>
      <c r="W208">
        <v>1</v>
      </c>
      <c r="X208">
        <v>1</v>
      </c>
      <c r="Y208" t="s">
        <v>835</v>
      </c>
      <c r="Z208" t="s">
        <v>529</v>
      </c>
      <c r="AA208" t="s">
        <v>661</v>
      </c>
    </row>
    <row r="209" hidden="1" spans="1:27">
      <c r="A209" t="s">
        <v>26</v>
      </c>
      <c r="B209">
        <v>2</v>
      </c>
      <c r="C209">
        <v>11</v>
      </c>
      <c r="D209" t="s">
        <v>658</v>
      </c>
      <c r="E209">
        <v>21.513</v>
      </c>
      <c r="F209">
        <v>20.9</v>
      </c>
      <c r="G209">
        <v>0.263</v>
      </c>
      <c r="H209">
        <v>20.61</v>
      </c>
      <c r="I209">
        <v>1.25837320574163</v>
      </c>
      <c r="J209">
        <v>98.6124401913876</v>
      </c>
      <c r="K209">
        <v>97.1505601264352</v>
      </c>
      <c r="L209">
        <v>1.22251661785897</v>
      </c>
      <c r="M209">
        <v>0.0269999999999975</v>
      </c>
      <c r="N209">
        <v>0.129186602870801</v>
      </c>
      <c r="O209">
        <v>20.637</v>
      </c>
      <c r="P209" t="s">
        <v>659</v>
      </c>
      <c r="R209">
        <v>0</v>
      </c>
      <c r="S209">
        <v>202</v>
      </c>
      <c r="T209">
        <v>216</v>
      </c>
      <c r="U209">
        <v>207</v>
      </c>
      <c r="V209">
        <v>204</v>
      </c>
      <c r="W209">
        <v>1</v>
      </c>
      <c r="X209">
        <v>1</v>
      </c>
      <c r="Y209" t="s">
        <v>836</v>
      </c>
      <c r="Z209" t="s">
        <v>519</v>
      </c>
      <c r="AA209" t="s">
        <v>661</v>
      </c>
    </row>
    <row r="210" hidden="1" spans="1:27">
      <c r="A210" t="s">
        <v>393</v>
      </c>
      <c r="B210">
        <v>3</v>
      </c>
      <c r="C210">
        <v>8</v>
      </c>
      <c r="D210" t="s">
        <v>658</v>
      </c>
      <c r="E210">
        <v>2.389</v>
      </c>
      <c r="F210">
        <v>1.8</v>
      </c>
      <c r="G210">
        <v>0.022</v>
      </c>
      <c r="H210">
        <v>1.723</v>
      </c>
      <c r="I210">
        <v>1.22222222222222</v>
      </c>
      <c r="J210">
        <v>95.7222222222222</v>
      </c>
      <c r="K210">
        <v>75.3453327752198</v>
      </c>
      <c r="L210">
        <v>0.920887400586019</v>
      </c>
      <c r="M210">
        <v>0.0549999999999999</v>
      </c>
      <c r="N210">
        <v>3.05555555555555</v>
      </c>
      <c r="O210">
        <v>1.778</v>
      </c>
      <c r="P210" t="s">
        <v>659</v>
      </c>
      <c r="R210">
        <v>0</v>
      </c>
      <c r="S210">
        <v>152</v>
      </c>
      <c r="T210">
        <v>166</v>
      </c>
      <c r="U210">
        <v>157</v>
      </c>
      <c r="V210">
        <v>154</v>
      </c>
      <c r="W210">
        <v>1</v>
      </c>
      <c r="X210">
        <v>1</v>
      </c>
      <c r="Y210" t="s">
        <v>837</v>
      </c>
      <c r="Z210" t="s">
        <v>534</v>
      </c>
      <c r="AA210" t="s">
        <v>661</v>
      </c>
    </row>
    <row r="211" hidden="1" spans="1:27">
      <c r="A211" t="s">
        <v>280</v>
      </c>
      <c r="B211">
        <v>2</v>
      </c>
      <c r="C211">
        <v>23</v>
      </c>
      <c r="D211" t="s">
        <v>658</v>
      </c>
      <c r="E211">
        <v>4.052</v>
      </c>
      <c r="F211">
        <v>3.2</v>
      </c>
      <c r="G211">
        <v>0.039</v>
      </c>
      <c r="H211">
        <v>3.15</v>
      </c>
      <c r="I211">
        <v>1.21875</v>
      </c>
      <c r="J211">
        <v>98.4375</v>
      </c>
      <c r="K211">
        <v>78.9733464955578</v>
      </c>
      <c r="L211">
        <v>0.96248766041461</v>
      </c>
      <c r="M211">
        <v>0.0110000000000001</v>
      </c>
      <c r="N211">
        <v>0.343750000000004</v>
      </c>
      <c r="O211">
        <v>3.161</v>
      </c>
      <c r="P211" t="s">
        <v>659</v>
      </c>
      <c r="R211">
        <v>0</v>
      </c>
      <c r="S211">
        <v>427</v>
      </c>
      <c r="T211">
        <v>441</v>
      </c>
      <c r="U211">
        <v>432</v>
      </c>
      <c r="V211">
        <v>429</v>
      </c>
      <c r="W211">
        <v>1</v>
      </c>
      <c r="X211">
        <v>1</v>
      </c>
      <c r="Y211" t="s">
        <v>838</v>
      </c>
      <c r="Z211" t="s">
        <v>529</v>
      </c>
      <c r="AA211" t="s">
        <v>661</v>
      </c>
    </row>
    <row r="212" hidden="1" spans="1:27">
      <c r="A212" t="s">
        <v>318</v>
      </c>
      <c r="B212">
        <v>3</v>
      </c>
      <c r="C212">
        <v>18</v>
      </c>
      <c r="D212" t="s">
        <v>658</v>
      </c>
      <c r="E212">
        <v>2.754</v>
      </c>
      <c r="F212">
        <v>2.2</v>
      </c>
      <c r="G212">
        <v>0.026</v>
      </c>
      <c r="H212">
        <v>2.102</v>
      </c>
      <c r="I212">
        <v>1.18181818181818</v>
      </c>
      <c r="J212">
        <v>95.5454545454545</v>
      </c>
      <c r="K212">
        <v>79.8838053740015</v>
      </c>
      <c r="L212">
        <v>0.944081336238199</v>
      </c>
      <c r="M212">
        <v>0.0720000000000005</v>
      </c>
      <c r="N212">
        <v>3.2727272727273</v>
      </c>
      <c r="O212">
        <v>2.174</v>
      </c>
      <c r="P212" t="s">
        <v>659</v>
      </c>
      <c r="R212">
        <v>0</v>
      </c>
      <c r="S212">
        <v>292</v>
      </c>
      <c r="T212">
        <v>306</v>
      </c>
      <c r="U212">
        <v>297</v>
      </c>
      <c r="V212">
        <v>294</v>
      </c>
      <c r="W212">
        <v>1</v>
      </c>
      <c r="X212">
        <v>1</v>
      </c>
      <c r="Y212" t="s">
        <v>839</v>
      </c>
      <c r="Z212" t="s">
        <v>531</v>
      </c>
      <c r="AA212" t="s">
        <v>661</v>
      </c>
    </row>
    <row r="213" hidden="1" spans="1:27">
      <c r="A213" t="s">
        <v>318</v>
      </c>
      <c r="B213">
        <v>3</v>
      </c>
      <c r="C213">
        <v>19</v>
      </c>
      <c r="D213" t="s">
        <v>658</v>
      </c>
      <c r="E213">
        <v>2.651</v>
      </c>
      <c r="F213">
        <v>1.9</v>
      </c>
      <c r="G213">
        <v>0.022</v>
      </c>
      <c r="H213">
        <v>1.873</v>
      </c>
      <c r="I213">
        <v>1.15789473684211</v>
      </c>
      <c r="J213">
        <v>98.5789473684211</v>
      </c>
      <c r="K213">
        <v>71.6710675216899</v>
      </c>
      <c r="L213">
        <v>0.829875518672199</v>
      </c>
      <c r="M213">
        <v>0.00499999999999989</v>
      </c>
      <c r="N213">
        <v>0.263157894736836</v>
      </c>
      <c r="O213">
        <v>1.878</v>
      </c>
      <c r="P213" t="s">
        <v>659</v>
      </c>
      <c r="R213">
        <v>0</v>
      </c>
      <c r="S213">
        <v>308</v>
      </c>
      <c r="T213">
        <v>322</v>
      </c>
      <c r="U213">
        <v>313</v>
      </c>
      <c r="V213">
        <v>310</v>
      </c>
      <c r="W213">
        <v>1</v>
      </c>
      <c r="X213">
        <v>1</v>
      </c>
      <c r="Y213" t="s">
        <v>840</v>
      </c>
      <c r="Z213" t="s">
        <v>531</v>
      </c>
      <c r="AA213" t="s">
        <v>661</v>
      </c>
    </row>
    <row r="214" hidden="1" spans="1:27">
      <c r="A214" t="s">
        <v>303</v>
      </c>
      <c r="B214">
        <v>2</v>
      </c>
      <c r="C214">
        <v>2</v>
      </c>
      <c r="D214" t="s">
        <v>670</v>
      </c>
      <c r="E214">
        <v>0.983</v>
      </c>
      <c r="F214">
        <v>0.7</v>
      </c>
      <c r="G214">
        <v>0.008</v>
      </c>
      <c r="H214">
        <v>0.629</v>
      </c>
      <c r="I214">
        <v>1.14285714285714</v>
      </c>
      <c r="J214">
        <v>89.8571428571429</v>
      </c>
      <c r="K214">
        <v>71.2105798575788</v>
      </c>
      <c r="L214">
        <v>0.81383519837233</v>
      </c>
      <c r="M214">
        <v>0.0629999999999999</v>
      </c>
      <c r="N214">
        <v>8.99999999999999</v>
      </c>
      <c r="O214">
        <v>0.692</v>
      </c>
      <c r="P214" t="s">
        <v>659</v>
      </c>
      <c r="R214">
        <v>0</v>
      </c>
      <c r="S214">
        <v>56</v>
      </c>
      <c r="T214">
        <v>70</v>
      </c>
      <c r="U214">
        <v>61</v>
      </c>
      <c r="V214">
        <v>58</v>
      </c>
      <c r="W214">
        <v>1</v>
      </c>
      <c r="X214">
        <v>1</v>
      </c>
      <c r="Y214" t="s">
        <v>809</v>
      </c>
      <c r="Z214" t="s">
        <v>530</v>
      </c>
      <c r="AA214" t="s">
        <v>661</v>
      </c>
    </row>
    <row r="215" hidden="1" spans="1:27">
      <c r="A215" t="s">
        <v>334</v>
      </c>
      <c r="B215">
        <v>3</v>
      </c>
      <c r="C215">
        <v>23</v>
      </c>
      <c r="D215" t="s">
        <v>658</v>
      </c>
      <c r="E215">
        <v>77.983</v>
      </c>
      <c r="F215">
        <v>72.2</v>
      </c>
      <c r="G215">
        <v>0.807</v>
      </c>
      <c r="H215">
        <v>71.388</v>
      </c>
      <c r="I215">
        <v>1.11772853185596</v>
      </c>
      <c r="J215">
        <v>98.8753462603878</v>
      </c>
      <c r="K215">
        <v>92.58428118949</v>
      </c>
      <c r="L215">
        <v>1.03484092686868</v>
      </c>
      <c r="M215">
        <v>0.00499999999999545</v>
      </c>
      <c r="N215">
        <v>0.00692520775622639</v>
      </c>
      <c r="O215">
        <v>71.393</v>
      </c>
      <c r="P215" t="s">
        <v>659</v>
      </c>
      <c r="R215">
        <v>0</v>
      </c>
      <c r="S215">
        <v>409</v>
      </c>
      <c r="T215">
        <v>423</v>
      </c>
      <c r="U215">
        <v>414</v>
      </c>
      <c r="V215">
        <v>411</v>
      </c>
      <c r="W215">
        <v>1</v>
      </c>
      <c r="X215">
        <v>1</v>
      </c>
      <c r="Y215" t="s">
        <v>841</v>
      </c>
      <c r="Z215" t="s">
        <v>532</v>
      </c>
      <c r="AA215" t="s">
        <v>661</v>
      </c>
    </row>
    <row r="216" hidden="1" spans="1:27">
      <c r="A216" t="s">
        <v>214</v>
      </c>
      <c r="B216">
        <v>3</v>
      </c>
      <c r="C216">
        <v>35</v>
      </c>
      <c r="D216" t="s">
        <v>658</v>
      </c>
      <c r="E216">
        <v>2.304</v>
      </c>
      <c r="F216">
        <v>1.7</v>
      </c>
      <c r="G216">
        <v>0.019</v>
      </c>
      <c r="H216">
        <v>1.629</v>
      </c>
      <c r="I216">
        <v>1.11764705882353</v>
      </c>
      <c r="J216">
        <v>95.8235294117647</v>
      </c>
      <c r="K216">
        <v>73.7847222222222</v>
      </c>
      <c r="L216">
        <v>0.824652777777778</v>
      </c>
      <c r="M216">
        <v>0.052</v>
      </c>
      <c r="N216">
        <v>3.05882352941177</v>
      </c>
      <c r="O216">
        <v>1.681</v>
      </c>
      <c r="P216" t="s">
        <v>659</v>
      </c>
      <c r="R216">
        <v>0</v>
      </c>
      <c r="S216">
        <v>595</v>
      </c>
      <c r="T216">
        <v>609</v>
      </c>
      <c r="U216">
        <v>600</v>
      </c>
      <c r="V216">
        <v>597</v>
      </c>
      <c r="W216">
        <v>1</v>
      </c>
      <c r="X216">
        <v>1</v>
      </c>
      <c r="Y216" t="s">
        <v>842</v>
      </c>
      <c r="Z216" t="s">
        <v>526</v>
      </c>
      <c r="AA216" t="s">
        <v>661</v>
      </c>
    </row>
    <row r="217" hidden="1" spans="1:27">
      <c r="A217" t="s">
        <v>413</v>
      </c>
      <c r="B217">
        <v>2</v>
      </c>
      <c r="C217">
        <v>43</v>
      </c>
      <c r="D217" t="s">
        <v>658</v>
      </c>
      <c r="E217">
        <v>1.707</v>
      </c>
      <c r="F217">
        <v>1.2</v>
      </c>
      <c r="G217">
        <v>0.013</v>
      </c>
      <c r="H217">
        <v>1.125</v>
      </c>
      <c r="I217">
        <v>1.08333333333333</v>
      </c>
      <c r="J217">
        <v>93.75</v>
      </c>
      <c r="K217">
        <v>70.298769771529</v>
      </c>
      <c r="L217">
        <v>0.761570005858231</v>
      </c>
      <c r="M217">
        <v>0.0620000000000001</v>
      </c>
      <c r="N217">
        <v>5.16666666666667</v>
      </c>
      <c r="O217">
        <v>1.187</v>
      </c>
      <c r="P217" t="s">
        <v>659</v>
      </c>
      <c r="R217">
        <v>0</v>
      </c>
      <c r="S217">
        <v>747</v>
      </c>
      <c r="T217">
        <v>761</v>
      </c>
      <c r="U217">
        <v>752</v>
      </c>
      <c r="V217">
        <v>749</v>
      </c>
      <c r="W217">
        <v>1</v>
      </c>
      <c r="X217">
        <v>1</v>
      </c>
      <c r="Y217" t="s">
        <v>810</v>
      </c>
      <c r="Z217" t="s">
        <v>535</v>
      </c>
      <c r="AA217" t="s">
        <v>661</v>
      </c>
    </row>
    <row r="218" hidden="1" spans="1:27">
      <c r="A218" t="s">
        <v>144</v>
      </c>
      <c r="B218">
        <v>2</v>
      </c>
      <c r="C218">
        <v>11</v>
      </c>
      <c r="D218" t="s">
        <v>658</v>
      </c>
      <c r="E218">
        <v>1.879</v>
      </c>
      <c r="F218">
        <v>0.8</v>
      </c>
      <c r="G218">
        <v>0.008</v>
      </c>
      <c r="H218">
        <v>0.723</v>
      </c>
      <c r="I218">
        <v>1</v>
      </c>
      <c r="J218">
        <v>90.375</v>
      </c>
      <c r="K218">
        <v>42.5758382118148</v>
      </c>
      <c r="L218">
        <v>0.425758382118148</v>
      </c>
      <c r="M218">
        <v>0.0690000000000001</v>
      </c>
      <c r="N218">
        <v>8.62500000000001</v>
      </c>
      <c r="O218">
        <v>0.792</v>
      </c>
      <c r="P218" t="s">
        <v>659</v>
      </c>
      <c r="R218">
        <v>0</v>
      </c>
      <c r="S218">
        <v>200</v>
      </c>
      <c r="T218">
        <v>214</v>
      </c>
      <c r="U218">
        <v>205</v>
      </c>
      <c r="V218">
        <v>202</v>
      </c>
      <c r="W218">
        <v>1</v>
      </c>
      <c r="X218">
        <v>1</v>
      </c>
      <c r="Y218" t="s">
        <v>843</v>
      </c>
      <c r="Z218" t="s">
        <v>524</v>
      </c>
      <c r="AA218" t="s">
        <v>661</v>
      </c>
    </row>
    <row r="219" hidden="1" spans="1:27">
      <c r="A219" t="s">
        <v>413</v>
      </c>
      <c r="B219">
        <v>2</v>
      </c>
      <c r="C219">
        <v>19</v>
      </c>
      <c r="D219" t="s">
        <v>658</v>
      </c>
      <c r="E219">
        <v>5.702</v>
      </c>
      <c r="F219">
        <v>4.5</v>
      </c>
      <c r="G219">
        <v>0.044</v>
      </c>
      <c r="H219">
        <v>4.417</v>
      </c>
      <c r="I219">
        <v>0.977777777777778</v>
      </c>
      <c r="J219">
        <v>98.1555555555556</v>
      </c>
      <c r="K219">
        <v>78.9196773062083</v>
      </c>
      <c r="L219">
        <v>0.771659066994037</v>
      </c>
      <c r="M219">
        <v>0.0390000000000006</v>
      </c>
      <c r="N219">
        <v>0.86666666666668</v>
      </c>
      <c r="O219">
        <v>4.456</v>
      </c>
      <c r="P219" t="s">
        <v>659</v>
      </c>
      <c r="R219">
        <v>0</v>
      </c>
      <c r="S219">
        <v>340</v>
      </c>
      <c r="T219">
        <v>354</v>
      </c>
      <c r="U219">
        <v>345</v>
      </c>
      <c r="V219">
        <v>342</v>
      </c>
      <c r="W219">
        <v>1</v>
      </c>
      <c r="X219">
        <v>1</v>
      </c>
      <c r="Y219" t="s">
        <v>844</v>
      </c>
      <c r="Z219" t="s">
        <v>535</v>
      </c>
      <c r="AA219" t="s">
        <v>661</v>
      </c>
    </row>
    <row r="220" spans="1:27">
      <c r="A220" t="s">
        <v>1</v>
      </c>
      <c r="B220">
        <v>2</v>
      </c>
      <c r="C220">
        <v>6</v>
      </c>
      <c r="D220" t="s">
        <v>658</v>
      </c>
      <c r="E220">
        <v>2.235</v>
      </c>
      <c r="F220">
        <v>2</v>
      </c>
      <c r="G220">
        <v>0.019</v>
      </c>
      <c r="H220">
        <v>1.925</v>
      </c>
      <c r="I220">
        <v>0.95</v>
      </c>
      <c r="J220">
        <v>96.25</v>
      </c>
      <c r="K220">
        <v>89.4854586129754</v>
      </c>
      <c r="L220">
        <v>0.850111856823266</v>
      </c>
      <c r="M220">
        <v>0.056</v>
      </c>
      <c r="N220">
        <v>2.8</v>
      </c>
      <c r="O220">
        <v>1.981</v>
      </c>
      <c r="P220" t="s">
        <v>659</v>
      </c>
      <c r="R220">
        <v>0</v>
      </c>
      <c r="S220">
        <v>120</v>
      </c>
      <c r="T220">
        <v>134</v>
      </c>
      <c r="U220">
        <v>125</v>
      </c>
      <c r="V220">
        <v>122</v>
      </c>
      <c r="W220">
        <v>1</v>
      </c>
      <c r="X220">
        <v>1</v>
      </c>
      <c r="Y220" t="s">
        <v>845</v>
      </c>
      <c r="Z220" t="s">
        <v>518</v>
      </c>
      <c r="AA220" t="s">
        <v>661</v>
      </c>
    </row>
    <row r="221" hidden="1" spans="1:27">
      <c r="A221" t="s">
        <v>134</v>
      </c>
      <c r="B221">
        <v>3</v>
      </c>
      <c r="C221">
        <v>2</v>
      </c>
      <c r="D221" t="s">
        <v>670</v>
      </c>
      <c r="E221">
        <v>1.945</v>
      </c>
      <c r="F221">
        <v>1.6</v>
      </c>
      <c r="G221">
        <v>0.015</v>
      </c>
      <c r="H221">
        <v>1.584</v>
      </c>
      <c r="I221">
        <v>0.9375</v>
      </c>
      <c r="J221">
        <v>99</v>
      </c>
      <c r="K221">
        <v>82.2622107969152</v>
      </c>
      <c r="L221">
        <v>0.77120822622108</v>
      </c>
      <c r="M221">
        <v>0.00100000000000011</v>
      </c>
      <c r="N221">
        <v>0.062500000000007</v>
      </c>
      <c r="O221">
        <v>1.585</v>
      </c>
      <c r="P221" t="s">
        <v>659</v>
      </c>
      <c r="R221">
        <v>0</v>
      </c>
      <c r="S221">
        <v>56</v>
      </c>
      <c r="T221">
        <v>70</v>
      </c>
      <c r="U221">
        <v>61</v>
      </c>
      <c r="V221">
        <v>58</v>
      </c>
      <c r="W221">
        <v>1</v>
      </c>
      <c r="X221">
        <v>1</v>
      </c>
      <c r="Y221" t="s">
        <v>728</v>
      </c>
      <c r="Z221" t="s">
        <v>523</v>
      </c>
      <c r="AA221" t="s">
        <v>661</v>
      </c>
    </row>
    <row r="222" hidden="1" spans="1:27">
      <c r="A222" t="s">
        <v>303</v>
      </c>
      <c r="B222">
        <v>2</v>
      </c>
      <c r="C222">
        <v>11</v>
      </c>
      <c r="D222" t="s">
        <v>658</v>
      </c>
      <c r="E222">
        <v>1.899</v>
      </c>
      <c r="F222">
        <v>1.5</v>
      </c>
      <c r="G222">
        <v>0.014</v>
      </c>
      <c r="H222">
        <v>1.453</v>
      </c>
      <c r="I222">
        <v>0.933333333333333</v>
      </c>
      <c r="J222">
        <v>96.8666666666667</v>
      </c>
      <c r="K222">
        <v>78.9889415481832</v>
      </c>
      <c r="L222">
        <v>0.737230121116377</v>
      </c>
      <c r="M222">
        <v>0.0329999999999999</v>
      </c>
      <c r="N222">
        <v>2.19999999999999</v>
      </c>
      <c r="O222">
        <v>1.486</v>
      </c>
      <c r="P222" t="s">
        <v>659</v>
      </c>
      <c r="R222">
        <v>0</v>
      </c>
      <c r="S222">
        <v>205</v>
      </c>
      <c r="T222">
        <v>219</v>
      </c>
      <c r="U222">
        <v>210</v>
      </c>
      <c r="V222">
        <v>207</v>
      </c>
      <c r="W222">
        <v>1</v>
      </c>
      <c r="X222">
        <v>1</v>
      </c>
      <c r="Y222" t="s">
        <v>846</v>
      </c>
      <c r="Z222" t="s">
        <v>530</v>
      </c>
      <c r="AA222" t="s">
        <v>661</v>
      </c>
    </row>
    <row r="223" hidden="1" spans="1:27">
      <c r="A223" t="s">
        <v>41</v>
      </c>
      <c r="B223">
        <v>1</v>
      </c>
      <c r="C223">
        <v>3</v>
      </c>
      <c r="D223" t="s">
        <v>670</v>
      </c>
      <c r="E223">
        <v>1.702</v>
      </c>
      <c r="F223">
        <v>1.4</v>
      </c>
      <c r="G223">
        <v>0.013</v>
      </c>
      <c r="H223">
        <v>1.412</v>
      </c>
      <c r="I223">
        <v>0.928571428571429</v>
      </c>
      <c r="J223">
        <v>100.857142857143</v>
      </c>
      <c r="K223">
        <v>82.2561692126909</v>
      </c>
      <c r="L223">
        <v>0.763807285546416</v>
      </c>
      <c r="M223">
        <v>-0.0249999999999999</v>
      </c>
      <c r="N223">
        <v>1.78571428571428</v>
      </c>
      <c r="O223">
        <v>1.387</v>
      </c>
      <c r="P223" t="s">
        <v>659</v>
      </c>
      <c r="R223">
        <v>0</v>
      </c>
      <c r="S223">
        <v>72</v>
      </c>
      <c r="T223">
        <v>86</v>
      </c>
      <c r="U223">
        <v>77</v>
      </c>
      <c r="V223">
        <v>74</v>
      </c>
      <c r="W223">
        <v>1</v>
      </c>
      <c r="X223">
        <v>1</v>
      </c>
      <c r="Y223" t="s">
        <v>728</v>
      </c>
      <c r="Z223" t="s">
        <v>520</v>
      </c>
      <c r="AA223" t="s">
        <v>661</v>
      </c>
    </row>
    <row r="224" hidden="1" spans="1:27">
      <c r="A224" t="s">
        <v>413</v>
      </c>
      <c r="B224">
        <v>2</v>
      </c>
      <c r="C224">
        <v>22</v>
      </c>
      <c r="D224" t="s">
        <v>699</v>
      </c>
      <c r="E224">
        <v>6.234</v>
      </c>
      <c r="F224">
        <v>5.5</v>
      </c>
      <c r="G224">
        <v>0.05</v>
      </c>
      <c r="H224">
        <v>5.363</v>
      </c>
      <c r="I224">
        <v>0.909090909090909</v>
      </c>
      <c r="J224">
        <v>97.5090909090909</v>
      </c>
      <c r="K224">
        <v>88.2258581969843</v>
      </c>
      <c r="L224">
        <v>0.802053256336221</v>
      </c>
      <c r="M224">
        <v>0.0869999999999997</v>
      </c>
      <c r="N224">
        <v>1.58181818181818</v>
      </c>
      <c r="O224">
        <v>5.45</v>
      </c>
      <c r="P224" t="s">
        <v>659</v>
      </c>
      <c r="R224">
        <v>0</v>
      </c>
      <c r="S224">
        <v>388</v>
      </c>
      <c r="T224">
        <v>402</v>
      </c>
      <c r="U224">
        <v>393</v>
      </c>
      <c r="V224">
        <v>390</v>
      </c>
      <c r="W224">
        <v>1</v>
      </c>
      <c r="X224">
        <v>1</v>
      </c>
      <c r="Y224" t="s">
        <v>847</v>
      </c>
      <c r="Z224" t="s">
        <v>535</v>
      </c>
      <c r="AA224" t="s">
        <v>661</v>
      </c>
    </row>
    <row r="225" spans="1:27">
      <c r="A225" t="s">
        <v>1</v>
      </c>
      <c r="B225">
        <v>2</v>
      </c>
      <c r="C225">
        <v>5</v>
      </c>
      <c r="D225" t="s">
        <v>670</v>
      </c>
      <c r="E225">
        <v>4.121</v>
      </c>
      <c r="F225">
        <v>3.1</v>
      </c>
      <c r="G225">
        <v>0.028</v>
      </c>
      <c r="H225">
        <v>3.079</v>
      </c>
      <c r="I225">
        <v>0.903225806451613</v>
      </c>
      <c r="J225">
        <v>99.3225806451613</v>
      </c>
      <c r="K225">
        <v>75.2244600825042</v>
      </c>
      <c r="L225">
        <v>0.679446736229071</v>
      </c>
      <c r="M225">
        <v>-0.00700000000000012</v>
      </c>
      <c r="N225">
        <v>0.225806451612907</v>
      </c>
      <c r="O225">
        <v>3.072</v>
      </c>
      <c r="P225" t="s">
        <v>659</v>
      </c>
      <c r="R225">
        <v>0</v>
      </c>
      <c r="S225">
        <v>104</v>
      </c>
      <c r="T225">
        <v>118</v>
      </c>
      <c r="U225">
        <v>109</v>
      </c>
      <c r="V225">
        <v>106</v>
      </c>
      <c r="W225">
        <v>1</v>
      </c>
      <c r="X225">
        <v>1</v>
      </c>
      <c r="Y225" t="s">
        <v>848</v>
      </c>
      <c r="Z225" t="s">
        <v>518</v>
      </c>
      <c r="AA225" t="s">
        <v>661</v>
      </c>
    </row>
    <row r="226" hidden="1" spans="1:27">
      <c r="A226" t="s">
        <v>393</v>
      </c>
      <c r="B226">
        <v>3</v>
      </c>
      <c r="C226">
        <v>5</v>
      </c>
      <c r="D226" t="s">
        <v>658</v>
      </c>
      <c r="E226">
        <v>6.953</v>
      </c>
      <c r="F226">
        <v>5.3</v>
      </c>
      <c r="G226">
        <v>0.046</v>
      </c>
      <c r="H226">
        <v>5.204</v>
      </c>
      <c r="I226">
        <v>0.867924528301887</v>
      </c>
      <c r="J226">
        <v>98.188679245283</v>
      </c>
      <c r="K226">
        <v>76.226089457788</v>
      </c>
      <c r="L226">
        <v>0.661584927369481</v>
      </c>
      <c r="M226">
        <v>0.0499999999999998</v>
      </c>
      <c r="N226">
        <v>0.943396226415091</v>
      </c>
      <c r="O226">
        <v>5.254</v>
      </c>
      <c r="P226" t="s">
        <v>659</v>
      </c>
      <c r="R226">
        <v>0</v>
      </c>
      <c r="S226">
        <v>104</v>
      </c>
      <c r="T226">
        <v>118</v>
      </c>
      <c r="U226">
        <v>109</v>
      </c>
      <c r="V226">
        <v>106</v>
      </c>
      <c r="W226">
        <v>1</v>
      </c>
      <c r="X226">
        <v>1</v>
      </c>
      <c r="Y226" t="s">
        <v>849</v>
      </c>
      <c r="Z226" t="s">
        <v>534</v>
      </c>
      <c r="AA226" t="s">
        <v>661</v>
      </c>
    </row>
    <row r="227" hidden="1" spans="1:27">
      <c r="A227" t="s">
        <v>134</v>
      </c>
      <c r="B227">
        <v>3</v>
      </c>
      <c r="C227">
        <v>3</v>
      </c>
      <c r="D227" t="s">
        <v>670</v>
      </c>
      <c r="E227">
        <v>1.95</v>
      </c>
      <c r="F227">
        <v>1.5</v>
      </c>
      <c r="G227">
        <v>0.013</v>
      </c>
      <c r="H227">
        <v>1.505</v>
      </c>
      <c r="I227">
        <v>0.866666666666667</v>
      </c>
      <c r="J227">
        <v>100.333333333333</v>
      </c>
      <c r="K227">
        <v>76.9230769230769</v>
      </c>
      <c r="L227">
        <v>0.666666666666667</v>
      </c>
      <c r="M227">
        <v>-0.0179999999999998</v>
      </c>
      <c r="N227">
        <v>1.19999999999999</v>
      </c>
      <c r="O227">
        <v>1.487</v>
      </c>
      <c r="P227" t="s">
        <v>659</v>
      </c>
      <c r="R227">
        <v>0</v>
      </c>
      <c r="S227">
        <v>72</v>
      </c>
      <c r="T227">
        <v>86</v>
      </c>
      <c r="U227">
        <v>77</v>
      </c>
      <c r="V227">
        <v>74</v>
      </c>
      <c r="W227">
        <v>1</v>
      </c>
      <c r="X227">
        <v>1</v>
      </c>
      <c r="Y227" t="s">
        <v>679</v>
      </c>
      <c r="Z227" t="s">
        <v>523</v>
      </c>
      <c r="AA227" t="s">
        <v>661</v>
      </c>
    </row>
    <row r="228" hidden="1" spans="1:27">
      <c r="A228" t="s">
        <v>99</v>
      </c>
      <c r="B228">
        <v>1</v>
      </c>
      <c r="C228">
        <v>15</v>
      </c>
      <c r="D228" t="s">
        <v>658</v>
      </c>
      <c r="E228">
        <v>34.853</v>
      </c>
      <c r="F228">
        <v>33.5</v>
      </c>
      <c r="G228">
        <v>0.283</v>
      </c>
      <c r="H228">
        <v>33.192</v>
      </c>
      <c r="I228">
        <v>0.844776119402985</v>
      </c>
      <c r="J228">
        <v>99.0805970149254</v>
      </c>
      <c r="K228">
        <v>96.1179812354747</v>
      </c>
      <c r="L228">
        <v>0.811981751929532</v>
      </c>
      <c r="M228">
        <v>0.0249999999999986</v>
      </c>
      <c r="N228">
        <v>0.0746268656716376</v>
      </c>
      <c r="O228">
        <v>33.217</v>
      </c>
      <c r="P228" t="s">
        <v>659</v>
      </c>
      <c r="R228">
        <v>0</v>
      </c>
      <c r="S228">
        <v>273</v>
      </c>
      <c r="T228">
        <v>287</v>
      </c>
      <c r="U228">
        <v>278</v>
      </c>
      <c r="V228">
        <v>275</v>
      </c>
      <c r="W228">
        <v>1</v>
      </c>
      <c r="X228">
        <v>1</v>
      </c>
      <c r="Y228" t="s">
        <v>850</v>
      </c>
      <c r="Z228" t="s">
        <v>522</v>
      </c>
      <c r="AA228" t="s">
        <v>661</v>
      </c>
    </row>
    <row r="229" hidden="1" spans="1:27">
      <c r="A229" t="s">
        <v>318</v>
      </c>
      <c r="B229">
        <v>3</v>
      </c>
      <c r="C229">
        <v>23</v>
      </c>
      <c r="D229" t="s">
        <v>658</v>
      </c>
      <c r="E229">
        <v>2.852</v>
      </c>
      <c r="F229">
        <v>2.2</v>
      </c>
      <c r="G229">
        <v>0.018</v>
      </c>
      <c r="H229">
        <v>2.12</v>
      </c>
      <c r="I229">
        <v>0.818181818181818</v>
      </c>
      <c r="J229">
        <v>96.3636363636364</v>
      </c>
      <c r="K229">
        <v>77.1388499298738</v>
      </c>
      <c r="L229">
        <v>0.631136044880785</v>
      </c>
      <c r="M229">
        <v>0.0620000000000003</v>
      </c>
      <c r="N229">
        <v>2.81818181818183</v>
      </c>
      <c r="O229">
        <v>2.182</v>
      </c>
      <c r="P229" t="s">
        <v>659</v>
      </c>
      <c r="R229">
        <v>0</v>
      </c>
      <c r="S229">
        <v>374</v>
      </c>
      <c r="T229">
        <v>388</v>
      </c>
      <c r="U229">
        <v>379</v>
      </c>
      <c r="V229">
        <v>376</v>
      </c>
      <c r="W229">
        <v>1</v>
      </c>
      <c r="X229">
        <v>1</v>
      </c>
      <c r="Y229" t="s">
        <v>851</v>
      </c>
      <c r="Z229" t="s">
        <v>531</v>
      </c>
      <c r="AA229" t="s">
        <v>661</v>
      </c>
    </row>
    <row r="230" hidden="1" spans="1:27">
      <c r="A230" t="s">
        <v>318</v>
      </c>
      <c r="B230">
        <v>3</v>
      </c>
      <c r="C230">
        <v>24</v>
      </c>
      <c r="D230" t="s">
        <v>658</v>
      </c>
      <c r="E230">
        <v>4.997</v>
      </c>
      <c r="F230">
        <v>3.6</v>
      </c>
      <c r="G230">
        <v>0.029</v>
      </c>
      <c r="H230">
        <v>3.517</v>
      </c>
      <c r="I230">
        <v>0.805555555555556</v>
      </c>
      <c r="J230">
        <v>97.6944444444444</v>
      </c>
      <c r="K230">
        <v>72.0432259355613</v>
      </c>
      <c r="L230">
        <v>0.580348208925355</v>
      </c>
      <c r="M230">
        <v>0.0540000000000003</v>
      </c>
      <c r="N230">
        <v>1.50000000000001</v>
      </c>
      <c r="O230">
        <v>3.571</v>
      </c>
      <c r="P230" t="s">
        <v>659</v>
      </c>
      <c r="R230">
        <v>0</v>
      </c>
      <c r="S230">
        <v>391</v>
      </c>
      <c r="T230">
        <v>405</v>
      </c>
      <c r="U230">
        <v>396</v>
      </c>
      <c r="V230">
        <v>393</v>
      </c>
      <c r="W230">
        <v>1</v>
      </c>
      <c r="X230">
        <v>1</v>
      </c>
      <c r="Y230" t="s">
        <v>852</v>
      </c>
      <c r="Z230" t="s">
        <v>531</v>
      </c>
      <c r="AA230" t="s">
        <v>661</v>
      </c>
    </row>
    <row r="231" hidden="1" spans="1:27">
      <c r="A231" t="s">
        <v>303</v>
      </c>
      <c r="B231">
        <v>2</v>
      </c>
      <c r="C231">
        <v>12</v>
      </c>
      <c r="D231" t="s">
        <v>658</v>
      </c>
      <c r="E231">
        <v>2.39</v>
      </c>
      <c r="F231">
        <v>2</v>
      </c>
      <c r="G231">
        <v>0.016</v>
      </c>
      <c r="H231">
        <v>1.91</v>
      </c>
      <c r="I231">
        <v>0.8</v>
      </c>
      <c r="J231">
        <v>95.5</v>
      </c>
      <c r="K231">
        <v>83.6820083682008</v>
      </c>
      <c r="L231">
        <v>0.669456066945607</v>
      </c>
      <c r="M231">
        <v>0.0740000000000001</v>
      </c>
      <c r="N231">
        <v>3.7</v>
      </c>
      <c r="O231">
        <v>1.984</v>
      </c>
      <c r="P231" t="s">
        <v>659</v>
      </c>
      <c r="R231">
        <v>0</v>
      </c>
      <c r="S231">
        <v>222</v>
      </c>
      <c r="T231">
        <v>236</v>
      </c>
      <c r="U231">
        <v>227</v>
      </c>
      <c r="V231">
        <v>224</v>
      </c>
      <c r="W231">
        <v>1</v>
      </c>
      <c r="X231">
        <v>1</v>
      </c>
      <c r="Y231" t="s">
        <v>853</v>
      </c>
      <c r="Z231" t="s">
        <v>530</v>
      </c>
      <c r="AA231" t="s">
        <v>661</v>
      </c>
    </row>
    <row r="232" hidden="1" spans="1:27">
      <c r="A232" t="s">
        <v>413</v>
      </c>
      <c r="B232">
        <v>2</v>
      </c>
      <c r="C232">
        <v>44</v>
      </c>
      <c r="D232" t="s">
        <v>658</v>
      </c>
      <c r="E232">
        <v>1.507</v>
      </c>
      <c r="F232">
        <v>1</v>
      </c>
      <c r="G232">
        <v>0.008</v>
      </c>
      <c r="H232">
        <v>0.956</v>
      </c>
      <c r="I232">
        <v>0.8</v>
      </c>
      <c r="J232">
        <v>95.6</v>
      </c>
      <c r="K232">
        <v>66.35700066357</v>
      </c>
      <c r="L232">
        <v>0.53085600530856</v>
      </c>
      <c r="M232">
        <v>0.036</v>
      </c>
      <c r="N232">
        <v>3.6</v>
      </c>
      <c r="O232">
        <v>0.992</v>
      </c>
      <c r="P232" t="s">
        <v>659</v>
      </c>
      <c r="R232">
        <v>0</v>
      </c>
      <c r="S232">
        <v>764</v>
      </c>
      <c r="T232">
        <v>778</v>
      </c>
      <c r="U232">
        <v>769</v>
      </c>
      <c r="V232">
        <v>766</v>
      </c>
      <c r="W232">
        <v>1</v>
      </c>
      <c r="X232">
        <v>1</v>
      </c>
      <c r="Y232" t="s">
        <v>810</v>
      </c>
      <c r="Z232" t="s">
        <v>535</v>
      </c>
      <c r="AA232" t="s">
        <v>661</v>
      </c>
    </row>
    <row r="233" hidden="1" spans="1:27">
      <c r="A233" t="s">
        <v>393</v>
      </c>
      <c r="B233">
        <v>3</v>
      </c>
      <c r="C233">
        <v>6</v>
      </c>
      <c r="D233" t="s">
        <v>658</v>
      </c>
      <c r="E233">
        <v>3.293</v>
      </c>
      <c r="F233">
        <v>3</v>
      </c>
      <c r="G233">
        <v>0.023</v>
      </c>
      <c r="H233">
        <v>2.94</v>
      </c>
      <c r="I233">
        <v>0.766666666666667</v>
      </c>
      <c r="J233">
        <v>98</v>
      </c>
      <c r="K233">
        <v>91.1023382933495</v>
      </c>
      <c r="L233">
        <v>0.698451260249013</v>
      </c>
      <c r="M233">
        <v>0.0369999999999999</v>
      </c>
      <c r="N233">
        <v>1.23333333333333</v>
      </c>
      <c r="O233">
        <v>2.977</v>
      </c>
      <c r="P233" t="s">
        <v>659</v>
      </c>
      <c r="R233">
        <v>0</v>
      </c>
      <c r="S233">
        <v>120</v>
      </c>
      <c r="T233">
        <v>134</v>
      </c>
      <c r="U233">
        <v>125</v>
      </c>
      <c r="V233">
        <v>122</v>
      </c>
      <c r="W233">
        <v>1</v>
      </c>
      <c r="X233">
        <v>1</v>
      </c>
      <c r="Y233" t="s">
        <v>849</v>
      </c>
      <c r="Z233" t="s">
        <v>534</v>
      </c>
      <c r="AA233" t="s">
        <v>661</v>
      </c>
    </row>
    <row r="234" hidden="1" spans="1:27">
      <c r="A234" t="s">
        <v>214</v>
      </c>
      <c r="B234">
        <v>3</v>
      </c>
      <c r="C234">
        <v>20</v>
      </c>
      <c r="D234" t="s">
        <v>658</v>
      </c>
      <c r="E234">
        <v>3.876</v>
      </c>
      <c r="F234">
        <v>3.3</v>
      </c>
      <c r="G234">
        <v>0.025</v>
      </c>
      <c r="H234">
        <v>3.232</v>
      </c>
      <c r="I234">
        <v>0.757575757575758</v>
      </c>
      <c r="J234">
        <v>97.939393939394</v>
      </c>
      <c r="K234">
        <v>85.1393188854489</v>
      </c>
      <c r="L234">
        <v>0.64499484004128</v>
      </c>
      <c r="M234">
        <v>0.0429999999999997</v>
      </c>
      <c r="N234">
        <v>1.30303030303029</v>
      </c>
      <c r="O234">
        <v>3.275</v>
      </c>
      <c r="P234" t="s">
        <v>659</v>
      </c>
      <c r="R234">
        <v>0</v>
      </c>
      <c r="S234">
        <v>355</v>
      </c>
      <c r="T234">
        <v>369</v>
      </c>
      <c r="U234">
        <v>360</v>
      </c>
      <c r="V234">
        <v>357</v>
      </c>
      <c r="W234">
        <v>1</v>
      </c>
      <c r="X234">
        <v>1</v>
      </c>
      <c r="Y234" t="s">
        <v>854</v>
      </c>
      <c r="Z234" t="s">
        <v>526</v>
      </c>
      <c r="AA234" t="s">
        <v>661</v>
      </c>
    </row>
    <row r="235" hidden="1" spans="1:27">
      <c r="A235" t="s">
        <v>393</v>
      </c>
      <c r="B235">
        <v>3</v>
      </c>
      <c r="C235">
        <v>3</v>
      </c>
      <c r="D235" t="s">
        <v>658</v>
      </c>
      <c r="E235">
        <v>2.862</v>
      </c>
      <c r="F235">
        <v>2.4</v>
      </c>
      <c r="G235">
        <v>0.018</v>
      </c>
      <c r="H235">
        <v>2.349</v>
      </c>
      <c r="I235">
        <v>0.75</v>
      </c>
      <c r="J235">
        <v>97.875</v>
      </c>
      <c r="K235">
        <v>83.8574423480084</v>
      </c>
      <c r="L235">
        <v>0.628930817610063</v>
      </c>
      <c r="M235">
        <v>0.0329999999999999</v>
      </c>
      <c r="N235">
        <v>1.375</v>
      </c>
      <c r="O235">
        <v>2.382</v>
      </c>
      <c r="P235" t="s">
        <v>659</v>
      </c>
      <c r="R235">
        <v>0</v>
      </c>
      <c r="S235">
        <v>72</v>
      </c>
      <c r="T235">
        <v>86</v>
      </c>
      <c r="U235">
        <v>77</v>
      </c>
      <c r="V235">
        <v>74</v>
      </c>
      <c r="W235">
        <v>1</v>
      </c>
      <c r="X235">
        <v>1</v>
      </c>
      <c r="Y235" t="s">
        <v>855</v>
      </c>
      <c r="Z235" t="s">
        <v>534</v>
      </c>
      <c r="AA235" t="s">
        <v>661</v>
      </c>
    </row>
    <row r="236" hidden="1" spans="1:27">
      <c r="A236" t="s">
        <v>413</v>
      </c>
      <c r="B236">
        <v>2</v>
      </c>
      <c r="C236">
        <v>46</v>
      </c>
      <c r="D236" t="s">
        <v>658</v>
      </c>
      <c r="E236">
        <v>1.421</v>
      </c>
      <c r="F236">
        <v>0.8</v>
      </c>
      <c r="G236">
        <v>0.006</v>
      </c>
      <c r="H236">
        <v>0.812</v>
      </c>
      <c r="I236">
        <v>0.75</v>
      </c>
      <c r="J236">
        <v>101.5</v>
      </c>
      <c r="K236">
        <v>56.2983814215341</v>
      </c>
      <c r="L236">
        <v>0.422237860661506</v>
      </c>
      <c r="M236">
        <v>-0.018</v>
      </c>
      <c r="N236">
        <v>2.25</v>
      </c>
      <c r="O236">
        <v>0.794</v>
      </c>
      <c r="P236" t="s">
        <v>659</v>
      </c>
      <c r="R236">
        <v>0</v>
      </c>
      <c r="S236">
        <v>798</v>
      </c>
      <c r="T236">
        <v>812</v>
      </c>
      <c r="U236">
        <v>803</v>
      </c>
      <c r="V236">
        <v>800</v>
      </c>
      <c r="W236">
        <v>1</v>
      </c>
      <c r="X236">
        <v>1</v>
      </c>
      <c r="Y236" t="s">
        <v>810</v>
      </c>
      <c r="Z236" t="s">
        <v>535</v>
      </c>
      <c r="AA236" t="s">
        <v>661</v>
      </c>
    </row>
    <row r="237" hidden="1" spans="1:27">
      <c r="A237" t="s">
        <v>99</v>
      </c>
      <c r="B237">
        <v>1</v>
      </c>
      <c r="C237">
        <v>29</v>
      </c>
      <c r="D237" t="s">
        <v>699</v>
      </c>
      <c r="E237">
        <v>22.277</v>
      </c>
      <c r="F237">
        <v>20.9</v>
      </c>
      <c r="G237">
        <v>0.148</v>
      </c>
      <c r="H237">
        <v>20.675</v>
      </c>
      <c r="I237">
        <v>0.708133971291866</v>
      </c>
      <c r="J237">
        <v>98.9234449760766</v>
      </c>
      <c r="K237">
        <v>93.8187368137541</v>
      </c>
      <c r="L237">
        <v>0.664362346815101</v>
      </c>
      <c r="M237">
        <v>0.0769999999999982</v>
      </c>
      <c r="N237">
        <v>0.36842105263157</v>
      </c>
      <c r="O237">
        <v>20.752</v>
      </c>
      <c r="P237" t="s">
        <v>659</v>
      </c>
      <c r="R237">
        <v>0</v>
      </c>
      <c r="S237">
        <v>505</v>
      </c>
      <c r="T237">
        <v>519</v>
      </c>
      <c r="U237">
        <v>510</v>
      </c>
      <c r="V237">
        <v>507</v>
      </c>
      <c r="W237">
        <v>1</v>
      </c>
      <c r="X237">
        <v>1</v>
      </c>
      <c r="Y237" t="s">
        <v>856</v>
      </c>
      <c r="Z237" t="s">
        <v>522</v>
      </c>
      <c r="AA237" t="s">
        <v>661</v>
      </c>
    </row>
    <row r="238" hidden="1" spans="1:27">
      <c r="A238" t="s">
        <v>214</v>
      </c>
      <c r="B238">
        <v>3</v>
      </c>
      <c r="C238">
        <v>27</v>
      </c>
      <c r="D238" t="s">
        <v>658</v>
      </c>
      <c r="E238">
        <v>8.209</v>
      </c>
      <c r="F238">
        <v>6.3</v>
      </c>
      <c r="G238">
        <v>0.044</v>
      </c>
      <c r="H238">
        <v>6.251</v>
      </c>
      <c r="I238">
        <v>0.698412698412698</v>
      </c>
      <c r="J238">
        <v>99.2222222222222</v>
      </c>
      <c r="K238">
        <v>76.7450359361676</v>
      </c>
      <c r="L238">
        <v>0.535997076379583</v>
      </c>
      <c r="M238">
        <v>0.00499999999999989</v>
      </c>
      <c r="N238">
        <v>0.0793650793650777</v>
      </c>
      <c r="O238">
        <v>6.256</v>
      </c>
      <c r="P238" t="s">
        <v>659</v>
      </c>
      <c r="R238">
        <v>0</v>
      </c>
      <c r="S238">
        <v>467</v>
      </c>
      <c r="T238">
        <v>481</v>
      </c>
      <c r="U238">
        <v>472</v>
      </c>
      <c r="V238">
        <v>469</v>
      </c>
      <c r="W238">
        <v>1</v>
      </c>
      <c r="X238">
        <v>1</v>
      </c>
      <c r="Y238" t="s">
        <v>857</v>
      </c>
      <c r="Z238" t="s">
        <v>526</v>
      </c>
      <c r="AA238" t="s">
        <v>661</v>
      </c>
    </row>
    <row r="239" hidden="1" spans="1:27">
      <c r="A239" t="s">
        <v>214</v>
      </c>
      <c r="B239">
        <v>3</v>
      </c>
      <c r="C239">
        <v>8</v>
      </c>
      <c r="D239" t="s">
        <v>658</v>
      </c>
      <c r="E239">
        <v>4.697</v>
      </c>
      <c r="F239">
        <v>4.3</v>
      </c>
      <c r="G239">
        <v>0.03</v>
      </c>
      <c r="H239">
        <v>4.202</v>
      </c>
      <c r="I239">
        <v>0.697674418604651</v>
      </c>
      <c r="J239">
        <v>97.7209302325581</v>
      </c>
      <c r="K239">
        <v>91.5477964658293</v>
      </c>
      <c r="L239">
        <v>0.638705556738344</v>
      </c>
      <c r="M239">
        <v>0.0679999999999996</v>
      </c>
      <c r="N239">
        <v>1.5813953488372</v>
      </c>
      <c r="O239">
        <v>4.27</v>
      </c>
      <c r="P239" t="s">
        <v>659</v>
      </c>
      <c r="R239">
        <v>0</v>
      </c>
      <c r="S239">
        <v>161</v>
      </c>
      <c r="T239">
        <v>175</v>
      </c>
      <c r="U239">
        <v>166</v>
      </c>
      <c r="V239">
        <v>163</v>
      </c>
      <c r="W239">
        <v>1</v>
      </c>
      <c r="X239">
        <v>1</v>
      </c>
      <c r="Y239" t="s">
        <v>858</v>
      </c>
      <c r="Z239" t="s">
        <v>526</v>
      </c>
      <c r="AA239" t="s">
        <v>661</v>
      </c>
    </row>
    <row r="240" hidden="1" spans="1:27">
      <c r="A240" t="s">
        <v>334</v>
      </c>
      <c r="B240">
        <v>3</v>
      </c>
      <c r="C240">
        <v>4</v>
      </c>
      <c r="D240" t="s">
        <v>670</v>
      </c>
      <c r="E240">
        <v>1.878</v>
      </c>
      <c r="F240">
        <v>1.6</v>
      </c>
      <c r="G240">
        <v>0.011</v>
      </c>
      <c r="H240">
        <v>1.516</v>
      </c>
      <c r="I240">
        <v>0.6875</v>
      </c>
      <c r="J240">
        <v>94.75</v>
      </c>
      <c r="K240">
        <v>85.1970181043664</v>
      </c>
      <c r="L240">
        <v>0.585729499467519</v>
      </c>
      <c r="M240">
        <v>0.0730000000000002</v>
      </c>
      <c r="N240">
        <v>4.56250000000001</v>
      </c>
      <c r="O240">
        <v>1.589</v>
      </c>
      <c r="P240" t="s">
        <v>659</v>
      </c>
      <c r="R240">
        <v>0</v>
      </c>
      <c r="S240">
        <v>89</v>
      </c>
      <c r="T240">
        <v>103</v>
      </c>
      <c r="U240">
        <v>94</v>
      </c>
      <c r="V240">
        <v>91</v>
      </c>
      <c r="W240">
        <v>1</v>
      </c>
      <c r="X240">
        <v>1</v>
      </c>
      <c r="Y240" t="s">
        <v>679</v>
      </c>
      <c r="Z240" t="s">
        <v>532</v>
      </c>
      <c r="AA240" t="s">
        <v>661</v>
      </c>
    </row>
    <row r="241" hidden="1" spans="1:27">
      <c r="A241" t="s">
        <v>253</v>
      </c>
      <c r="B241">
        <v>1</v>
      </c>
      <c r="C241">
        <v>6</v>
      </c>
      <c r="D241" t="s">
        <v>658</v>
      </c>
      <c r="E241">
        <v>3.739</v>
      </c>
      <c r="F241">
        <v>3.3</v>
      </c>
      <c r="G241">
        <v>0.022</v>
      </c>
      <c r="H241">
        <v>3.269</v>
      </c>
      <c r="I241">
        <v>0.666666666666667</v>
      </c>
      <c r="J241">
        <v>99.0606060606061</v>
      </c>
      <c r="K241">
        <v>88.2588927520728</v>
      </c>
      <c r="L241">
        <v>0.588392618347152</v>
      </c>
      <c r="M241">
        <v>0.0089999999999999</v>
      </c>
      <c r="N241">
        <v>0.27272727272727</v>
      </c>
      <c r="O241">
        <v>3.278</v>
      </c>
      <c r="P241" t="s">
        <v>659</v>
      </c>
      <c r="R241">
        <v>0</v>
      </c>
      <c r="S241">
        <v>120</v>
      </c>
      <c r="T241">
        <v>134</v>
      </c>
      <c r="U241">
        <v>125</v>
      </c>
      <c r="V241">
        <v>122</v>
      </c>
      <c r="W241">
        <v>1</v>
      </c>
      <c r="X241">
        <v>1</v>
      </c>
      <c r="Y241" t="s">
        <v>859</v>
      </c>
      <c r="Z241" t="s">
        <v>527</v>
      </c>
      <c r="AA241" t="s">
        <v>661</v>
      </c>
    </row>
    <row r="242" hidden="1" spans="1:27">
      <c r="A242" t="s">
        <v>26</v>
      </c>
      <c r="B242">
        <v>2</v>
      </c>
      <c r="C242">
        <v>13</v>
      </c>
      <c r="D242" t="s">
        <v>658</v>
      </c>
      <c r="E242">
        <v>67.714</v>
      </c>
      <c r="F242">
        <v>67.2</v>
      </c>
      <c r="G242">
        <v>0.402</v>
      </c>
      <c r="H242">
        <v>66.729</v>
      </c>
      <c r="I242">
        <v>0.598214285714286</v>
      </c>
      <c r="J242">
        <v>99.2991071428571</v>
      </c>
      <c r="K242">
        <v>99.2409250671944</v>
      </c>
      <c r="L242">
        <v>0.593673391026966</v>
      </c>
      <c r="M242">
        <v>0.0690000000000026</v>
      </c>
      <c r="N242">
        <v>0.102678571428575</v>
      </c>
      <c r="O242">
        <v>66.798</v>
      </c>
      <c r="P242" t="s">
        <v>659</v>
      </c>
      <c r="R242">
        <v>0</v>
      </c>
      <c r="S242">
        <v>234</v>
      </c>
      <c r="T242">
        <v>248</v>
      </c>
      <c r="U242">
        <v>239</v>
      </c>
      <c r="V242">
        <v>236</v>
      </c>
      <c r="W242">
        <v>1</v>
      </c>
      <c r="X242">
        <v>1</v>
      </c>
      <c r="Y242" t="s">
        <v>860</v>
      </c>
      <c r="Z242" t="s">
        <v>519</v>
      </c>
      <c r="AA242" t="s">
        <v>661</v>
      </c>
    </row>
    <row r="243" hidden="1" spans="1:27">
      <c r="A243" t="s">
        <v>413</v>
      </c>
      <c r="B243">
        <v>2</v>
      </c>
      <c r="C243">
        <v>26</v>
      </c>
      <c r="D243" t="s">
        <v>658</v>
      </c>
      <c r="E243">
        <v>8.259</v>
      </c>
      <c r="F243">
        <v>7.4</v>
      </c>
      <c r="G243">
        <v>0.044</v>
      </c>
      <c r="H243">
        <v>7.343</v>
      </c>
      <c r="I243">
        <v>0.594594594594595</v>
      </c>
      <c r="J243">
        <v>99.2297297297297</v>
      </c>
      <c r="K243">
        <v>89.599225087783</v>
      </c>
      <c r="L243">
        <v>0.532752149170602</v>
      </c>
      <c r="M243">
        <v>0.0130000000000008</v>
      </c>
      <c r="N243">
        <v>0.175675675675686</v>
      </c>
      <c r="O243">
        <v>7.356</v>
      </c>
      <c r="P243" t="s">
        <v>659</v>
      </c>
      <c r="R243">
        <v>0</v>
      </c>
      <c r="S243">
        <v>459</v>
      </c>
      <c r="T243">
        <v>473</v>
      </c>
      <c r="U243">
        <v>464</v>
      </c>
      <c r="V243">
        <v>461</v>
      </c>
      <c r="W243">
        <v>1</v>
      </c>
      <c r="X243">
        <v>1</v>
      </c>
      <c r="Y243" t="s">
        <v>861</v>
      </c>
      <c r="Z243" t="s">
        <v>535</v>
      </c>
      <c r="AA243" t="s">
        <v>661</v>
      </c>
    </row>
    <row r="244" hidden="1" spans="1:27">
      <c r="A244" t="s">
        <v>99</v>
      </c>
      <c r="B244">
        <v>1</v>
      </c>
      <c r="C244">
        <v>11</v>
      </c>
      <c r="D244" t="s">
        <v>658</v>
      </c>
      <c r="E244">
        <v>3.603</v>
      </c>
      <c r="F244">
        <v>2.9</v>
      </c>
      <c r="G244">
        <v>0.017</v>
      </c>
      <c r="H244">
        <v>2.847</v>
      </c>
      <c r="I244">
        <v>0.586206896551724</v>
      </c>
      <c r="J244">
        <v>98.1724137931035</v>
      </c>
      <c r="K244">
        <v>80.488481820705</v>
      </c>
      <c r="L244">
        <v>0.471829031362753</v>
      </c>
      <c r="M244">
        <v>0.036</v>
      </c>
      <c r="N244">
        <v>1.24137931034483</v>
      </c>
      <c r="O244">
        <v>2.883</v>
      </c>
      <c r="P244" t="s">
        <v>659</v>
      </c>
      <c r="R244">
        <v>0</v>
      </c>
      <c r="S244">
        <v>208</v>
      </c>
      <c r="T244">
        <v>222</v>
      </c>
      <c r="U244">
        <v>213</v>
      </c>
      <c r="V244">
        <v>210</v>
      </c>
      <c r="W244">
        <v>1</v>
      </c>
      <c r="X244">
        <v>1</v>
      </c>
      <c r="Y244" t="s">
        <v>862</v>
      </c>
      <c r="Z244" t="s">
        <v>522</v>
      </c>
      <c r="AA244" t="s">
        <v>661</v>
      </c>
    </row>
    <row r="245" hidden="1" spans="1:27">
      <c r="A245" t="s">
        <v>413</v>
      </c>
      <c r="B245">
        <v>2</v>
      </c>
      <c r="C245">
        <v>29</v>
      </c>
      <c r="D245" t="s">
        <v>658</v>
      </c>
      <c r="E245">
        <v>7.19</v>
      </c>
      <c r="F245">
        <v>5.8</v>
      </c>
      <c r="G245">
        <v>0.034</v>
      </c>
      <c r="H245">
        <v>5.72</v>
      </c>
      <c r="I245">
        <v>0.586206896551724</v>
      </c>
      <c r="J245">
        <v>98.6206896551724</v>
      </c>
      <c r="K245">
        <v>80.6675938803894</v>
      </c>
      <c r="L245">
        <v>0.472878998609179</v>
      </c>
      <c r="M245">
        <v>0.0460000000000003</v>
      </c>
      <c r="N245">
        <v>0.793103448275867</v>
      </c>
      <c r="O245">
        <v>5.766</v>
      </c>
      <c r="P245" t="s">
        <v>659</v>
      </c>
      <c r="R245">
        <v>0</v>
      </c>
      <c r="S245">
        <v>509</v>
      </c>
      <c r="T245">
        <v>523</v>
      </c>
      <c r="U245">
        <v>514</v>
      </c>
      <c r="V245">
        <v>511</v>
      </c>
      <c r="W245">
        <v>1</v>
      </c>
      <c r="X245">
        <v>1</v>
      </c>
      <c r="Y245" t="s">
        <v>863</v>
      </c>
      <c r="Z245" t="s">
        <v>535</v>
      </c>
      <c r="AA245" t="s">
        <v>661</v>
      </c>
    </row>
    <row r="246" hidden="1" spans="1:27">
      <c r="A246" t="s">
        <v>214</v>
      </c>
      <c r="B246">
        <v>3</v>
      </c>
      <c r="C246">
        <v>26</v>
      </c>
      <c r="D246" t="s">
        <v>658</v>
      </c>
      <c r="E246">
        <v>5.433</v>
      </c>
      <c r="F246">
        <v>4.8</v>
      </c>
      <c r="G246">
        <v>0.026</v>
      </c>
      <c r="H246">
        <v>4.408</v>
      </c>
      <c r="I246">
        <v>0.541666666666667</v>
      </c>
      <c r="J246">
        <v>91.8333333333333</v>
      </c>
      <c r="K246">
        <v>88.3489784649365</v>
      </c>
      <c r="L246">
        <v>0.478556966685073</v>
      </c>
      <c r="M246">
        <v>0.366</v>
      </c>
      <c r="N246">
        <v>7.62499999999999</v>
      </c>
      <c r="O246">
        <v>4.774</v>
      </c>
      <c r="P246" t="s">
        <v>659</v>
      </c>
      <c r="R246">
        <v>0</v>
      </c>
      <c r="S246">
        <v>451</v>
      </c>
      <c r="T246">
        <v>465</v>
      </c>
      <c r="U246">
        <v>456</v>
      </c>
      <c r="V246">
        <v>453</v>
      </c>
      <c r="W246">
        <v>1</v>
      </c>
      <c r="X246">
        <v>1</v>
      </c>
      <c r="Y246" t="s">
        <v>864</v>
      </c>
      <c r="Z246" t="s">
        <v>526</v>
      </c>
      <c r="AA246" t="s">
        <v>661</v>
      </c>
    </row>
    <row r="247" hidden="1" spans="1:27">
      <c r="A247" t="s">
        <v>413</v>
      </c>
      <c r="B247">
        <v>2</v>
      </c>
      <c r="C247">
        <v>28</v>
      </c>
      <c r="D247" t="s">
        <v>658</v>
      </c>
      <c r="E247">
        <v>7.985</v>
      </c>
      <c r="F247">
        <v>7.1</v>
      </c>
      <c r="G247">
        <v>0.036</v>
      </c>
      <c r="H247">
        <v>7.047</v>
      </c>
      <c r="I247">
        <v>0.507042253521127</v>
      </c>
      <c r="J247">
        <v>99.2535211267606</v>
      </c>
      <c r="K247">
        <v>88.9167188478397</v>
      </c>
      <c r="L247">
        <v>0.450845335003131</v>
      </c>
      <c r="M247">
        <v>0.0170000000000003</v>
      </c>
      <c r="N247">
        <v>0.239436619718315</v>
      </c>
      <c r="O247">
        <v>7.064</v>
      </c>
      <c r="P247" t="s">
        <v>659</v>
      </c>
      <c r="R247">
        <v>0</v>
      </c>
      <c r="S247">
        <v>492</v>
      </c>
      <c r="T247">
        <v>506</v>
      </c>
      <c r="U247">
        <v>497</v>
      </c>
      <c r="V247">
        <v>494</v>
      </c>
      <c r="W247">
        <v>1</v>
      </c>
      <c r="X247">
        <v>1</v>
      </c>
      <c r="Y247" t="s">
        <v>865</v>
      </c>
      <c r="Z247" t="s">
        <v>535</v>
      </c>
      <c r="AA247" t="s">
        <v>661</v>
      </c>
    </row>
    <row r="248" hidden="1" spans="1:27">
      <c r="A248" t="s">
        <v>413</v>
      </c>
      <c r="B248">
        <v>2</v>
      </c>
      <c r="C248">
        <v>25</v>
      </c>
      <c r="D248" t="s">
        <v>658</v>
      </c>
      <c r="E248">
        <v>6.915</v>
      </c>
      <c r="F248">
        <v>5.5</v>
      </c>
      <c r="G248">
        <v>0.027</v>
      </c>
      <c r="H248">
        <v>5.415</v>
      </c>
      <c r="I248">
        <v>0.490909090909091</v>
      </c>
      <c r="J248">
        <v>98.4545454545455</v>
      </c>
      <c r="K248">
        <v>79.5372378886479</v>
      </c>
      <c r="L248">
        <v>0.390455531453362</v>
      </c>
      <c r="M248">
        <v>0.0579999999999998</v>
      </c>
      <c r="N248">
        <v>1.05454545454545</v>
      </c>
      <c r="O248">
        <v>5.473</v>
      </c>
      <c r="P248" t="s">
        <v>659</v>
      </c>
      <c r="R248">
        <v>0</v>
      </c>
      <c r="S248">
        <v>443</v>
      </c>
      <c r="T248">
        <v>457</v>
      </c>
      <c r="U248">
        <v>448</v>
      </c>
      <c r="V248">
        <v>445</v>
      </c>
      <c r="W248">
        <v>1</v>
      </c>
      <c r="X248">
        <v>1</v>
      </c>
      <c r="Y248" t="s">
        <v>866</v>
      </c>
      <c r="Z248" t="s">
        <v>535</v>
      </c>
      <c r="AA248" t="s">
        <v>661</v>
      </c>
    </row>
    <row r="249" hidden="1" spans="1:27">
      <c r="A249" t="s">
        <v>334</v>
      </c>
      <c r="B249">
        <v>3</v>
      </c>
      <c r="C249">
        <v>14</v>
      </c>
      <c r="D249" t="s">
        <v>658</v>
      </c>
      <c r="E249">
        <v>14.087</v>
      </c>
      <c r="F249">
        <v>13.5</v>
      </c>
      <c r="G249">
        <v>0.064</v>
      </c>
      <c r="H249">
        <v>13.423</v>
      </c>
      <c r="I249">
        <v>0.474074074074074</v>
      </c>
      <c r="J249">
        <v>99.4296296296296</v>
      </c>
      <c r="K249">
        <v>95.8330375523532</v>
      </c>
      <c r="L249">
        <v>0.454319585433378</v>
      </c>
      <c r="M249">
        <v>0.0129999999999999</v>
      </c>
      <c r="N249">
        <v>0.0962962962962956</v>
      </c>
      <c r="O249">
        <v>13.436</v>
      </c>
      <c r="P249" t="s">
        <v>659</v>
      </c>
      <c r="R249">
        <v>0</v>
      </c>
      <c r="S249">
        <v>256</v>
      </c>
      <c r="T249">
        <v>270</v>
      </c>
      <c r="U249">
        <v>261</v>
      </c>
      <c r="V249">
        <v>258</v>
      </c>
      <c r="W249">
        <v>1</v>
      </c>
      <c r="X249">
        <v>1</v>
      </c>
      <c r="Y249" t="s">
        <v>867</v>
      </c>
      <c r="Z249" t="s">
        <v>532</v>
      </c>
      <c r="AA249" t="s">
        <v>661</v>
      </c>
    </row>
    <row r="250" hidden="1" spans="1:27">
      <c r="A250" t="s">
        <v>393</v>
      </c>
      <c r="B250">
        <v>3</v>
      </c>
      <c r="C250">
        <v>7</v>
      </c>
      <c r="D250" t="s">
        <v>658</v>
      </c>
      <c r="E250">
        <v>4.172</v>
      </c>
      <c r="F250">
        <v>3.9</v>
      </c>
      <c r="G250">
        <v>0.018</v>
      </c>
      <c r="H250">
        <v>3.82</v>
      </c>
      <c r="I250">
        <v>0.461538461538462</v>
      </c>
      <c r="J250">
        <v>97.9487179487179</v>
      </c>
      <c r="K250">
        <v>93.4803451581975</v>
      </c>
      <c r="L250">
        <v>0.431447746883989</v>
      </c>
      <c r="M250">
        <v>0.0620000000000003</v>
      </c>
      <c r="N250">
        <v>1.5897435897436</v>
      </c>
      <c r="O250">
        <v>3.882</v>
      </c>
      <c r="P250" t="s">
        <v>659</v>
      </c>
      <c r="R250">
        <v>0</v>
      </c>
      <c r="S250">
        <v>136</v>
      </c>
      <c r="T250">
        <v>150</v>
      </c>
      <c r="U250">
        <v>141</v>
      </c>
      <c r="V250">
        <v>138</v>
      </c>
      <c r="W250">
        <v>1</v>
      </c>
      <c r="X250">
        <v>1</v>
      </c>
      <c r="Y250" t="s">
        <v>868</v>
      </c>
      <c r="Z250" t="s">
        <v>534</v>
      </c>
      <c r="AA250" t="s">
        <v>661</v>
      </c>
    </row>
    <row r="251" hidden="1" spans="1:27">
      <c r="A251" t="s">
        <v>358</v>
      </c>
      <c r="B251">
        <v>3</v>
      </c>
      <c r="C251">
        <v>45</v>
      </c>
      <c r="D251" t="s">
        <v>658</v>
      </c>
      <c r="E251">
        <v>11.624</v>
      </c>
      <c r="F251">
        <v>9.5</v>
      </c>
      <c r="G251">
        <v>0.043</v>
      </c>
      <c r="H251">
        <v>9.434</v>
      </c>
      <c r="I251">
        <v>0.452631578947368</v>
      </c>
      <c r="J251">
        <v>99.3052631578947</v>
      </c>
      <c r="K251">
        <v>81.7274604267034</v>
      </c>
      <c r="L251">
        <v>0.369924294562973</v>
      </c>
      <c r="M251">
        <v>0.0230000000000015</v>
      </c>
      <c r="N251">
        <v>0.24210526315791</v>
      </c>
      <c r="O251">
        <v>9.457</v>
      </c>
      <c r="P251" t="s">
        <v>659</v>
      </c>
      <c r="R251">
        <v>0</v>
      </c>
      <c r="S251">
        <v>807</v>
      </c>
      <c r="T251">
        <v>821</v>
      </c>
      <c r="U251">
        <v>812</v>
      </c>
      <c r="V251">
        <v>809</v>
      </c>
      <c r="W251">
        <v>1</v>
      </c>
      <c r="X251">
        <v>1</v>
      </c>
      <c r="Y251" t="s">
        <v>869</v>
      </c>
      <c r="Z251" t="s">
        <v>533</v>
      </c>
      <c r="AA251" t="s">
        <v>661</v>
      </c>
    </row>
    <row r="252" hidden="1" spans="1:27">
      <c r="A252" t="s">
        <v>280</v>
      </c>
      <c r="B252">
        <v>2</v>
      </c>
      <c r="C252">
        <v>14</v>
      </c>
      <c r="D252" t="s">
        <v>768</v>
      </c>
      <c r="E252">
        <v>9.424</v>
      </c>
      <c r="F252">
        <v>8.7</v>
      </c>
      <c r="G252">
        <v>0.039</v>
      </c>
      <c r="H252">
        <v>8.638</v>
      </c>
      <c r="I252">
        <v>0.448275862068966</v>
      </c>
      <c r="J252">
        <v>99.2873563218391</v>
      </c>
      <c r="K252">
        <v>92.3174872665535</v>
      </c>
      <c r="L252">
        <v>0.41383701188455</v>
      </c>
      <c r="M252">
        <v>0.0229999999999997</v>
      </c>
      <c r="N252">
        <v>0.26436781609195</v>
      </c>
      <c r="O252">
        <v>8.661</v>
      </c>
      <c r="P252" t="s">
        <v>659</v>
      </c>
      <c r="R252">
        <v>0</v>
      </c>
      <c r="S252">
        <v>261</v>
      </c>
      <c r="T252">
        <v>275</v>
      </c>
      <c r="U252">
        <v>266</v>
      </c>
      <c r="V252">
        <v>263</v>
      </c>
      <c r="W252">
        <v>1</v>
      </c>
      <c r="X252">
        <v>1</v>
      </c>
      <c r="Y252" t="s">
        <v>870</v>
      </c>
      <c r="Z252" t="s">
        <v>529</v>
      </c>
      <c r="AA252" t="s">
        <v>661</v>
      </c>
    </row>
    <row r="253" hidden="1" spans="1:27">
      <c r="A253" t="s">
        <v>214</v>
      </c>
      <c r="B253">
        <v>3</v>
      </c>
      <c r="C253">
        <v>25</v>
      </c>
      <c r="D253" t="s">
        <v>658</v>
      </c>
      <c r="E253">
        <v>5.251</v>
      </c>
      <c r="F253">
        <v>4.5</v>
      </c>
      <c r="G253">
        <v>0.02</v>
      </c>
      <c r="H253">
        <v>4.461</v>
      </c>
      <c r="I253">
        <v>0.444444444444444</v>
      </c>
      <c r="J253">
        <v>99.1333333333333</v>
      </c>
      <c r="K253">
        <v>85.6979622928966</v>
      </c>
      <c r="L253">
        <v>0.380879832412874</v>
      </c>
      <c r="M253">
        <v>0.0190000000000001</v>
      </c>
      <c r="N253">
        <v>0.422222222222225</v>
      </c>
      <c r="O253">
        <v>4.48</v>
      </c>
      <c r="P253" t="s">
        <v>659</v>
      </c>
      <c r="R253">
        <v>0</v>
      </c>
      <c r="S253">
        <v>435</v>
      </c>
      <c r="T253">
        <v>449</v>
      </c>
      <c r="U253">
        <v>440</v>
      </c>
      <c r="V253">
        <v>437</v>
      </c>
      <c r="W253">
        <v>1</v>
      </c>
      <c r="X253">
        <v>1</v>
      </c>
      <c r="Y253" t="s">
        <v>864</v>
      </c>
      <c r="Z253" t="s">
        <v>526</v>
      </c>
      <c r="AA253" t="s">
        <v>661</v>
      </c>
    </row>
    <row r="254" hidden="1" spans="1:27">
      <c r="A254" t="s">
        <v>413</v>
      </c>
      <c r="B254">
        <v>2</v>
      </c>
      <c r="C254">
        <v>21</v>
      </c>
      <c r="D254" t="s">
        <v>658</v>
      </c>
      <c r="E254">
        <v>8.305</v>
      </c>
      <c r="F254">
        <v>7.5</v>
      </c>
      <c r="G254">
        <v>0.033</v>
      </c>
      <c r="H254">
        <v>7.422</v>
      </c>
      <c r="I254">
        <v>0.44</v>
      </c>
      <c r="J254">
        <v>98.96</v>
      </c>
      <c r="K254">
        <v>90.307043949428</v>
      </c>
      <c r="L254">
        <v>0.397350993377483</v>
      </c>
      <c r="M254">
        <v>0.0449999999999999</v>
      </c>
      <c r="N254">
        <v>0.599999999999999</v>
      </c>
      <c r="O254">
        <v>7.467</v>
      </c>
      <c r="P254" t="s">
        <v>659</v>
      </c>
      <c r="R254">
        <v>0</v>
      </c>
      <c r="S254">
        <v>372</v>
      </c>
      <c r="T254">
        <v>386</v>
      </c>
      <c r="U254">
        <v>377</v>
      </c>
      <c r="V254">
        <v>374</v>
      </c>
      <c r="W254">
        <v>1</v>
      </c>
      <c r="X254">
        <v>1</v>
      </c>
      <c r="Y254" t="s">
        <v>871</v>
      </c>
      <c r="Z254" t="s">
        <v>535</v>
      </c>
      <c r="AA254" t="s">
        <v>661</v>
      </c>
    </row>
    <row r="255" hidden="1" spans="1:27">
      <c r="A255" t="s">
        <v>413</v>
      </c>
      <c r="B255">
        <v>2</v>
      </c>
      <c r="C255">
        <v>40</v>
      </c>
      <c r="D255" t="s">
        <v>658</v>
      </c>
      <c r="E255">
        <v>3.072</v>
      </c>
      <c r="F255">
        <v>2.5</v>
      </c>
      <c r="G255">
        <v>0.011</v>
      </c>
      <c r="H255">
        <v>2.41</v>
      </c>
      <c r="I255">
        <v>0.44</v>
      </c>
      <c r="J255">
        <v>96.4</v>
      </c>
      <c r="K255">
        <v>81.3802083333333</v>
      </c>
      <c r="L255">
        <v>0.358072916666667</v>
      </c>
      <c r="M255">
        <v>0.0789999999999997</v>
      </c>
      <c r="N255">
        <v>3.15999999999999</v>
      </c>
      <c r="O255">
        <v>2.489</v>
      </c>
      <c r="P255" t="s">
        <v>659</v>
      </c>
      <c r="R255">
        <v>0</v>
      </c>
      <c r="S255">
        <v>695</v>
      </c>
      <c r="T255">
        <v>709</v>
      </c>
      <c r="U255">
        <v>700</v>
      </c>
      <c r="V255">
        <v>697</v>
      </c>
      <c r="W255">
        <v>1</v>
      </c>
      <c r="X255">
        <v>1</v>
      </c>
      <c r="Y255" t="s">
        <v>810</v>
      </c>
      <c r="Z255" t="s">
        <v>535</v>
      </c>
      <c r="AA255" t="s">
        <v>661</v>
      </c>
    </row>
    <row r="256" hidden="1" spans="1:27">
      <c r="A256" t="s">
        <v>144</v>
      </c>
      <c r="B256">
        <v>2</v>
      </c>
      <c r="C256">
        <v>10</v>
      </c>
      <c r="D256" t="s">
        <v>658</v>
      </c>
      <c r="E256">
        <v>5.658</v>
      </c>
      <c r="F256">
        <v>5.3</v>
      </c>
      <c r="G256">
        <v>0.023</v>
      </c>
      <c r="H256">
        <v>5.234</v>
      </c>
      <c r="I256">
        <v>0.433962264150943</v>
      </c>
      <c r="J256">
        <v>98.7547169811321</v>
      </c>
      <c r="K256">
        <v>93.6726758571933</v>
      </c>
      <c r="L256">
        <v>0.40650406504065</v>
      </c>
      <c r="M256">
        <v>0.0430000000000001</v>
      </c>
      <c r="N256">
        <v>0.811320754716984</v>
      </c>
      <c r="O256">
        <v>5.277</v>
      </c>
      <c r="P256" t="s">
        <v>659</v>
      </c>
      <c r="R256">
        <v>0</v>
      </c>
      <c r="S256">
        <v>184</v>
      </c>
      <c r="T256">
        <v>198</v>
      </c>
      <c r="U256">
        <v>189</v>
      </c>
      <c r="V256">
        <v>186</v>
      </c>
      <c r="W256">
        <v>1</v>
      </c>
      <c r="X256">
        <v>1</v>
      </c>
      <c r="Y256" t="s">
        <v>872</v>
      </c>
      <c r="Z256" t="s">
        <v>524</v>
      </c>
      <c r="AA256" t="s">
        <v>661</v>
      </c>
    </row>
    <row r="257" hidden="1" spans="1:27">
      <c r="A257" t="s">
        <v>358</v>
      </c>
      <c r="B257">
        <v>3</v>
      </c>
      <c r="C257">
        <v>32</v>
      </c>
      <c r="D257" t="s">
        <v>658</v>
      </c>
      <c r="E257">
        <v>9.587</v>
      </c>
      <c r="F257">
        <v>8.6</v>
      </c>
      <c r="G257">
        <v>0.037</v>
      </c>
      <c r="H257">
        <v>8.499</v>
      </c>
      <c r="I257">
        <v>0.430232558139535</v>
      </c>
      <c r="J257">
        <v>98.8255813953488</v>
      </c>
      <c r="K257">
        <v>89.7048085949723</v>
      </c>
      <c r="L257">
        <v>0.385939292792323</v>
      </c>
      <c r="M257">
        <v>0.0639999999999983</v>
      </c>
      <c r="N257">
        <v>0.744186046511608</v>
      </c>
      <c r="O257">
        <v>8.563</v>
      </c>
      <c r="P257" t="s">
        <v>659</v>
      </c>
      <c r="R257">
        <v>0</v>
      </c>
      <c r="S257">
        <v>586</v>
      </c>
      <c r="T257">
        <v>600</v>
      </c>
      <c r="U257">
        <v>591</v>
      </c>
      <c r="V257">
        <v>588</v>
      </c>
      <c r="W257">
        <v>1</v>
      </c>
      <c r="X257">
        <v>1</v>
      </c>
      <c r="Y257" t="s">
        <v>873</v>
      </c>
      <c r="Z257" t="s">
        <v>533</v>
      </c>
      <c r="AA257" t="s">
        <v>661</v>
      </c>
    </row>
    <row r="258" hidden="1" spans="1:27">
      <c r="A258" t="s">
        <v>214</v>
      </c>
      <c r="B258">
        <v>3</v>
      </c>
      <c r="C258">
        <v>12</v>
      </c>
      <c r="D258" t="s">
        <v>658</v>
      </c>
      <c r="E258">
        <v>12.411</v>
      </c>
      <c r="F258">
        <v>11.6</v>
      </c>
      <c r="G258">
        <v>0.047</v>
      </c>
      <c r="H258">
        <v>11.5</v>
      </c>
      <c r="I258">
        <v>0.405172413793103</v>
      </c>
      <c r="J258">
        <v>99.1379310344828</v>
      </c>
      <c r="K258">
        <v>93.4654741761341</v>
      </c>
      <c r="L258">
        <v>0.378696317782612</v>
      </c>
      <c r="M258">
        <v>0.052999999999999</v>
      </c>
      <c r="N258">
        <v>0.45689655172413</v>
      </c>
      <c r="O258">
        <v>11.553</v>
      </c>
      <c r="P258" t="s">
        <v>659</v>
      </c>
      <c r="R258">
        <v>0</v>
      </c>
      <c r="S258">
        <v>227</v>
      </c>
      <c r="T258">
        <v>241</v>
      </c>
      <c r="U258">
        <v>232</v>
      </c>
      <c r="V258">
        <v>229</v>
      </c>
      <c r="W258">
        <v>1</v>
      </c>
      <c r="X258">
        <v>1</v>
      </c>
      <c r="Y258" t="s">
        <v>874</v>
      </c>
      <c r="Z258" t="s">
        <v>526</v>
      </c>
      <c r="AA258" t="s">
        <v>661</v>
      </c>
    </row>
    <row r="259" hidden="1" spans="1:27">
      <c r="A259" t="s">
        <v>168</v>
      </c>
      <c r="B259">
        <v>1</v>
      </c>
      <c r="C259">
        <v>35</v>
      </c>
      <c r="D259" t="s">
        <v>658</v>
      </c>
      <c r="E259">
        <v>65.769</v>
      </c>
      <c r="F259">
        <v>64.8</v>
      </c>
      <c r="G259">
        <v>0.256</v>
      </c>
      <c r="H259">
        <v>64.474</v>
      </c>
      <c r="I259">
        <v>0.395061728395062</v>
      </c>
      <c r="J259">
        <v>99.4969135802469</v>
      </c>
      <c r="K259">
        <v>98.5266614970579</v>
      </c>
      <c r="L259">
        <v>0.389241131840229</v>
      </c>
      <c r="M259">
        <v>0.0699999999999932</v>
      </c>
      <c r="N259">
        <v>0.108024691358014</v>
      </c>
      <c r="O259">
        <v>64.544</v>
      </c>
      <c r="P259" t="s">
        <v>659</v>
      </c>
      <c r="R259">
        <v>0</v>
      </c>
      <c r="S259">
        <v>592</v>
      </c>
      <c r="T259">
        <v>606</v>
      </c>
      <c r="U259">
        <v>597</v>
      </c>
      <c r="V259">
        <v>594</v>
      </c>
      <c r="W259">
        <v>1</v>
      </c>
      <c r="X259">
        <v>1</v>
      </c>
      <c r="Y259" t="s">
        <v>875</v>
      </c>
      <c r="Z259" t="s">
        <v>525</v>
      </c>
      <c r="AA259" t="s">
        <v>661</v>
      </c>
    </row>
    <row r="260" hidden="1" spans="1:27">
      <c r="A260" t="s">
        <v>334</v>
      </c>
      <c r="B260">
        <v>3</v>
      </c>
      <c r="C260">
        <v>8</v>
      </c>
      <c r="D260" t="s">
        <v>658</v>
      </c>
      <c r="E260">
        <v>2.274</v>
      </c>
      <c r="F260">
        <v>1.8</v>
      </c>
      <c r="G260">
        <v>0.007</v>
      </c>
      <c r="H260">
        <v>1.765</v>
      </c>
      <c r="I260">
        <v>0.388888888888889</v>
      </c>
      <c r="J260">
        <v>98.0555555555556</v>
      </c>
      <c r="K260">
        <v>79.155672823219</v>
      </c>
      <c r="L260">
        <v>0.307827616534741</v>
      </c>
      <c r="M260">
        <v>0.0280000000000002</v>
      </c>
      <c r="N260">
        <v>1.55555555555557</v>
      </c>
      <c r="O260">
        <v>1.793</v>
      </c>
      <c r="P260" t="s">
        <v>659</v>
      </c>
      <c r="R260">
        <v>0</v>
      </c>
      <c r="S260">
        <v>153</v>
      </c>
      <c r="T260">
        <v>167</v>
      </c>
      <c r="U260">
        <v>158</v>
      </c>
      <c r="V260">
        <v>155</v>
      </c>
      <c r="W260">
        <v>1</v>
      </c>
      <c r="X260">
        <v>1</v>
      </c>
      <c r="Y260" t="s">
        <v>876</v>
      </c>
      <c r="Z260" t="s">
        <v>532</v>
      </c>
      <c r="AA260" t="s">
        <v>661</v>
      </c>
    </row>
    <row r="261" hidden="1" spans="1:27">
      <c r="A261" t="s">
        <v>413</v>
      </c>
      <c r="B261">
        <v>2</v>
      </c>
      <c r="C261">
        <v>42</v>
      </c>
      <c r="D261" t="s">
        <v>658</v>
      </c>
      <c r="E261">
        <v>1.853</v>
      </c>
      <c r="F261">
        <v>1.3</v>
      </c>
      <c r="G261">
        <v>0.005</v>
      </c>
      <c r="H261">
        <v>1.232</v>
      </c>
      <c r="I261">
        <v>0.384615384615385</v>
      </c>
      <c r="J261">
        <v>94.7692307692308</v>
      </c>
      <c r="K261">
        <v>70.1565029681597</v>
      </c>
      <c r="L261">
        <v>0.269832703723691</v>
      </c>
      <c r="M261">
        <v>0.0630000000000002</v>
      </c>
      <c r="N261">
        <v>4.84615384615386</v>
      </c>
      <c r="O261">
        <v>1.295</v>
      </c>
      <c r="P261" t="s">
        <v>659</v>
      </c>
      <c r="R261">
        <v>0</v>
      </c>
      <c r="S261">
        <v>729</v>
      </c>
      <c r="T261">
        <v>743</v>
      </c>
      <c r="U261">
        <v>734</v>
      </c>
      <c r="V261">
        <v>731</v>
      </c>
      <c r="W261">
        <v>1</v>
      </c>
      <c r="X261">
        <v>1</v>
      </c>
      <c r="Y261" t="s">
        <v>810</v>
      </c>
      <c r="Z261" t="s">
        <v>535</v>
      </c>
      <c r="AA261" t="s">
        <v>661</v>
      </c>
    </row>
    <row r="262" hidden="1" spans="1:27">
      <c r="A262" t="s">
        <v>413</v>
      </c>
      <c r="B262">
        <v>2</v>
      </c>
      <c r="C262">
        <v>20</v>
      </c>
      <c r="D262" t="s">
        <v>658</v>
      </c>
      <c r="E262">
        <v>7.211</v>
      </c>
      <c r="F262">
        <v>6.5</v>
      </c>
      <c r="G262">
        <v>0.024</v>
      </c>
      <c r="H262">
        <v>6.481</v>
      </c>
      <c r="I262">
        <v>0.369230769230769</v>
      </c>
      <c r="J262">
        <v>99.7076923076923</v>
      </c>
      <c r="K262">
        <v>90.1400637914298</v>
      </c>
      <c r="L262">
        <v>0.332824850922202</v>
      </c>
      <c r="M262">
        <v>-0.00499999999999989</v>
      </c>
      <c r="N262">
        <v>0.0769230769230753</v>
      </c>
      <c r="O262">
        <v>6.476</v>
      </c>
      <c r="P262" t="s">
        <v>659</v>
      </c>
      <c r="R262">
        <v>0</v>
      </c>
      <c r="S262">
        <v>356</v>
      </c>
      <c r="T262">
        <v>370</v>
      </c>
      <c r="U262">
        <v>361</v>
      </c>
      <c r="V262">
        <v>358</v>
      </c>
      <c r="W262">
        <v>1</v>
      </c>
      <c r="X262">
        <v>1</v>
      </c>
      <c r="Y262" t="s">
        <v>877</v>
      </c>
      <c r="Z262" t="s">
        <v>535</v>
      </c>
      <c r="AA262" t="s">
        <v>661</v>
      </c>
    </row>
    <row r="263" hidden="1" spans="1:27">
      <c r="A263" t="s">
        <v>358</v>
      </c>
      <c r="B263">
        <v>3</v>
      </c>
      <c r="C263">
        <v>46</v>
      </c>
      <c r="D263" t="s">
        <v>658</v>
      </c>
      <c r="E263">
        <v>8.828</v>
      </c>
      <c r="F263">
        <v>7.6</v>
      </c>
      <c r="G263">
        <v>0.028</v>
      </c>
      <c r="H263">
        <v>7.538</v>
      </c>
      <c r="I263">
        <v>0.368421052631579</v>
      </c>
      <c r="J263">
        <v>99.1842105263158</v>
      </c>
      <c r="K263">
        <v>86.0897145446307</v>
      </c>
      <c r="L263">
        <v>0.31717263253285</v>
      </c>
      <c r="M263">
        <v>0.0339999999999998</v>
      </c>
      <c r="N263">
        <v>0.447368421052629</v>
      </c>
      <c r="O263">
        <v>7.572</v>
      </c>
      <c r="P263" t="s">
        <v>659</v>
      </c>
      <c r="R263">
        <v>0</v>
      </c>
      <c r="S263">
        <v>825</v>
      </c>
      <c r="T263">
        <v>839</v>
      </c>
      <c r="U263">
        <v>830</v>
      </c>
      <c r="V263">
        <v>827</v>
      </c>
      <c r="W263">
        <v>1</v>
      </c>
      <c r="X263">
        <v>1</v>
      </c>
      <c r="Y263" t="s">
        <v>878</v>
      </c>
      <c r="Z263" t="s">
        <v>533</v>
      </c>
      <c r="AA263" t="s">
        <v>661</v>
      </c>
    </row>
    <row r="264" hidden="1" spans="1:27">
      <c r="A264" t="s">
        <v>358</v>
      </c>
      <c r="B264">
        <v>3</v>
      </c>
      <c r="C264">
        <v>35</v>
      </c>
      <c r="D264" t="s">
        <v>658</v>
      </c>
      <c r="E264">
        <v>11.894</v>
      </c>
      <c r="F264">
        <v>10.7</v>
      </c>
      <c r="G264">
        <v>0.039</v>
      </c>
      <c r="H264">
        <v>10.622</v>
      </c>
      <c r="I264">
        <v>0.364485981308411</v>
      </c>
      <c r="J264">
        <v>99.2710280373832</v>
      </c>
      <c r="K264">
        <v>89.9613250378342</v>
      </c>
      <c r="L264">
        <v>0.327896418362199</v>
      </c>
      <c r="M264">
        <v>0.0389999999999997</v>
      </c>
      <c r="N264">
        <v>0.364485981308408</v>
      </c>
      <c r="O264">
        <v>10.661</v>
      </c>
      <c r="P264" t="s">
        <v>659</v>
      </c>
      <c r="R264">
        <v>0</v>
      </c>
      <c r="S264">
        <v>635</v>
      </c>
      <c r="T264">
        <v>649</v>
      </c>
      <c r="U264">
        <v>640</v>
      </c>
      <c r="V264">
        <v>637</v>
      </c>
      <c r="W264">
        <v>1</v>
      </c>
      <c r="X264">
        <v>1</v>
      </c>
      <c r="Y264" t="s">
        <v>879</v>
      </c>
      <c r="Z264" t="s">
        <v>533</v>
      </c>
      <c r="AA264" t="s">
        <v>661</v>
      </c>
    </row>
    <row r="265" hidden="1" spans="1:27">
      <c r="A265" t="s">
        <v>413</v>
      </c>
      <c r="B265">
        <v>2</v>
      </c>
      <c r="C265">
        <v>41</v>
      </c>
      <c r="D265" t="s">
        <v>658</v>
      </c>
      <c r="E265">
        <v>2.879</v>
      </c>
      <c r="F265">
        <v>2.3</v>
      </c>
      <c r="G265">
        <v>0.008</v>
      </c>
      <c r="H265">
        <v>2.277</v>
      </c>
      <c r="I265">
        <v>0.347826086956522</v>
      </c>
      <c r="J265">
        <v>99</v>
      </c>
      <c r="K265">
        <v>79.8888502952414</v>
      </c>
      <c r="L265">
        <v>0.277874261896492</v>
      </c>
      <c r="M265">
        <v>0.0149999999999997</v>
      </c>
      <c r="N265">
        <v>0.652173913043464</v>
      </c>
      <c r="O265">
        <v>2.292</v>
      </c>
      <c r="P265" t="s">
        <v>659</v>
      </c>
      <c r="R265">
        <v>0</v>
      </c>
      <c r="S265">
        <v>712</v>
      </c>
      <c r="T265">
        <v>726</v>
      </c>
      <c r="U265">
        <v>717</v>
      </c>
      <c r="V265">
        <v>714</v>
      </c>
      <c r="W265">
        <v>1</v>
      </c>
      <c r="X265">
        <v>1</v>
      </c>
      <c r="Y265" t="s">
        <v>810</v>
      </c>
      <c r="Z265" t="s">
        <v>535</v>
      </c>
      <c r="AA265" t="s">
        <v>661</v>
      </c>
    </row>
    <row r="266" hidden="1" spans="1:27">
      <c r="A266" t="s">
        <v>334</v>
      </c>
      <c r="B266">
        <v>3</v>
      </c>
      <c r="C266">
        <v>24</v>
      </c>
      <c r="D266" t="s">
        <v>723</v>
      </c>
      <c r="E266">
        <v>60.057</v>
      </c>
      <c r="F266">
        <v>59.1</v>
      </c>
      <c r="G266">
        <v>0.205</v>
      </c>
      <c r="H266">
        <v>58.851</v>
      </c>
      <c r="I266">
        <v>0.346869712351946</v>
      </c>
      <c r="J266">
        <v>99.5786802030457</v>
      </c>
      <c r="K266">
        <v>98.4065138118787</v>
      </c>
      <c r="L266">
        <v>0.341342391394842</v>
      </c>
      <c r="M266">
        <v>0.044000000000004</v>
      </c>
      <c r="N266">
        <v>0.0744500846023757</v>
      </c>
      <c r="O266">
        <v>58.895</v>
      </c>
      <c r="P266" t="s">
        <v>659</v>
      </c>
      <c r="R266">
        <v>0</v>
      </c>
      <c r="S266">
        <v>428</v>
      </c>
      <c r="T266">
        <v>442</v>
      </c>
      <c r="U266">
        <v>433</v>
      </c>
      <c r="V266">
        <v>430</v>
      </c>
      <c r="W266">
        <v>1</v>
      </c>
      <c r="X266">
        <v>1</v>
      </c>
      <c r="Y266" t="s">
        <v>880</v>
      </c>
      <c r="Z266" t="s">
        <v>532</v>
      </c>
      <c r="AA266" t="s">
        <v>661</v>
      </c>
    </row>
    <row r="267" hidden="1" spans="1:27">
      <c r="A267" t="s">
        <v>41</v>
      </c>
      <c r="B267">
        <v>1</v>
      </c>
      <c r="C267">
        <v>18</v>
      </c>
      <c r="D267" t="s">
        <v>658</v>
      </c>
      <c r="E267">
        <v>22.917</v>
      </c>
      <c r="F267">
        <v>22.4</v>
      </c>
      <c r="G267">
        <v>0.075</v>
      </c>
      <c r="H267">
        <v>22.211</v>
      </c>
      <c r="I267">
        <v>0.334821428571429</v>
      </c>
      <c r="J267">
        <v>99.15625</v>
      </c>
      <c r="K267">
        <v>97.7440328140681</v>
      </c>
      <c r="L267">
        <v>0.327267967011389</v>
      </c>
      <c r="M267">
        <v>0.114000000000001</v>
      </c>
      <c r="N267">
        <v>0.508928571428575</v>
      </c>
      <c r="O267">
        <v>22.325</v>
      </c>
      <c r="P267" t="s">
        <v>659</v>
      </c>
      <c r="R267">
        <v>0</v>
      </c>
      <c r="S267">
        <v>312</v>
      </c>
      <c r="T267">
        <v>326</v>
      </c>
      <c r="U267">
        <v>317</v>
      </c>
      <c r="V267">
        <v>314</v>
      </c>
      <c r="W267">
        <v>1</v>
      </c>
      <c r="X267">
        <v>1</v>
      </c>
      <c r="Y267" t="s">
        <v>881</v>
      </c>
      <c r="Z267" t="s">
        <v>520</v>
      </c>
      <c r="AA267" t="s">
        <v>661</v>
      </c>
    </row>
    <row r="268" hidden="1" spans="1:27">
      <c r="A268" t="s">
        <v>358</v>
      </c>
      <c r="B268">
        <v>3</v>
      </c>
      <c r="C268">
        <v>47</v>
      </c>
      <c r="D268" t="s">
        <v>658</v>
      </c>
      <c r="E268">
        <v>7.389</v>
      </c>
      <c r="F268">
        <v>6.3</v>
      </c>
      <c r="G268">
        <v>0.021</v>
      </c>
      <c r="H268">
        <v>6.188</v>
      </c>
      <c r="I268">
        <v>0.333333333333333</v>
      </c>
      <c r="J268">
        <v>98.2222222222222</v>
      </c>
      <c r="K268">
        <v>85.2618757612668</v>
      </c>
      <c r="L268">
        <v>0.284206252537556</v>
      </c>
      <c r="M268">
        <v>0.0910000000000002</v>
      </c>
      <c r="N268">
        <v>1.44444444444445</v>
      </c>
      <c r="O268">
        <v>6.279</v>
      </c>
      <c r="P268" t="s">
        <v>659</v>
      </c>
      <c r="R268">
        <v>0</v>
      </c>
      <c r="S268">
        <v>842</v>
      </c>
      <c r="T268">
        <v>856</v>
      </c>
      <c r="U268">
        <v>847</v>
      </c>
      <c r="V268">
        <v>844</v>
      </c>
      <c r="W268">
        <v>1</v>
      </c>
      <c r="X268">
        <v>1</v>
      </c>
      <c r="Y268" t="s">
        <v>878</v>
      </c>
      <c r="Z268" t="s">
        <v>533</v>
      </c>
      <c r="AA268" t="s">
        <v>661</v>
      </c>
    </row>
    <row r="269" hidden="1" spans="1:27">
      <c r="A269" t="s">
        <v>259</v>
      </c>
      <c r="B269">
        <v>1</v>
      </c>
      <c r="C269">
        <v>20</v>
      </c>
      <c r="D269" t="s">
        <v>658</v>
      </c>
      <c r="E269">
        <v>5.672</v>
      </c>
      <c r="F269">
        <v>4.9</v>
      </c>
      <c r="G269">
        <v>0.016</v>
      </c>
      <c r="H269">
        <v>4.876</v>
      </c>
      <c r="I269">
        <v>0.326530612244898</v>
      </c>
      <c r="J269">
        <v>99.5102040816327</v>
      </c>
      <c r="K269">
        <v>86.3892806770099</v>
      </c>
      <c r="L269">
        <v>0.282087447108604</v>
      </c>
      <c r="M269">
        <v>0.00800000000000001</v>
      </c>
      <c r="N269">
        <v>0.163265306122449</v>
      </c>
      <c r="O269">
        <v>4.884</v>
      </c>
      <c r="P269" t="s">
        <v>659</v>
      </c>
      <c r="R269">
        <v>0</v>
      </c>
      <c r="S269">
        <v>362</v>
      </c>
      <c r="T269">
        <v>376</v>
      </c>
      <c r="U269">
        <v>367</v>
      </c>
      <c r="V269">
        <v>364</v>
      </c>
      <c r="W269">
        <v>1</v>
      </c>
      <c r="X269">
        <v>1</v>
      </c>
      <c r="Y269" t="s">
        <v>882</v>
      </c>
      <c r="Z269" t="s">
        <v>528</v>
      </c>
      <c r="AA269" t="s">
        <v>661</v>
      </c>
    </row>
    <row r="270" hidden="1" spans="1:27">
      <c r="A270" t="s">
        <v>358</v>
      </c>
      <c r="B270">
        <v>3</v>
      </c>
      <c r="C270">
        <v>41</v>
      </c>
      <c r="D270" t="s">
        <v>658</v>
      </c>
      <c r="E270">
        <v>16.654</v>
      </c>
      <c r="F270">
        <v>13.9</v>
      </c>
      <c r="G270">
        <v>0.045</v>
      </c>
      <c r="H270">
        <v>13.846</v>
      </c>
      <c r="I270">
        <v>0.323741007194245</v>
      </c>
      <c r="J270">
        <v>99.6115107913669</v>
      </c>
      <c r="K270">
        <v>83.4634322084785</v>
      </c>
      <c r="L270">
        <v>0.270205356070614</v>
      </c>
      <c r="M270">
        <v>0.00900000000000034</v>
      </c>
      <c r="N270">
        <v>0.0647482014388514</v>
      </c>
      <c r="O270">
        <v>13.855</v>
      </c>
      <c r="P270" t="s">
        <v>659</v>
      </c>
      <c r="R270">
        <v>0</v>
      </c>
      <c r="S270">
        <v>737</v>
      </c>
      <c r="T270">
        <v>751</v>
      </c>
      <c r="U270">
        <v>742</v>
      </c>
      <c r="V270">
        <v>739</v>
      </c>
      <c r="W270">
        <v>1</v>
      </c>
      <c r="X270">
        <v>1</v>
      </c>
      <c r="Y270" t="s">
        <v>883</v>
      </c>
      <c r="Z270" t="s">
        <v>533</v>
      </c>
      <c r="AA270" t="s">
        <v>661</v>
      </c>
    </row>
    <row r="271" hidden="1" spans="1:27">
      <c r="A271" t="s">
        <v>214</v>
      </c>
      <c r="B271">
        <v>3</v>
      </c>
      <c r="C271">
        <v>24</v>
      </c>
      <c r="D271" t="s">
        <v>658</v>
      </c>
      <c r="E271">
        <v>6.56</v>
      </c>
      <c r="F271">
        <v>5.9</v>
      </c>
      <c r="G271">
        <v>0.019</v>
      </c>
      <c r="H271">
        <v>5.79</v>
      </c>
      <c r="I271">
        <v>0.322033898305085</v>
      </c>
      <c r="J271">
        <v>98.135593220339</v>
      </c>
      <c r="K271">
        <v>89.9390243902439</v>
      </c>
      <c r="L271">
        <v>0.289634146341463</v>
      </c>
      <c r="M271">
        <v>0.0910000000000002</v>
      </c>
      <c r="N271">
        <v>1.54237288135594</v>
      </c>
      <c r="O271">
        <v>5.881</v>
      </c>
      <c r="P271" t="s">
        <v>659</v>
      </c>
      <c r="R271">
        <v>0</v>
      </c>
      <c r="S271">
        <v>419</v>
      </c>
      <c r="T271">
        <v>433</v>
      </c>
      <c r="U271">
        <v>424</v>
      </c>
      <c r="V271">
        <v>421</v>
      </c>
      <c r="W271">
        <v>1</v>
      </c>
      <c r="X271">
        <v>1</v>
      </c>
      <c r="Y271" t="s">
        <v>884</v>
      </c>
      <c r="Z271" t="s">
        <v>526</v>
      </c>
      <c r="AA271" t="s">
        <v>661</v>
      </c>
    </row>
    <row r="272" hidden="1" spans="1:27">
      <c r="A272" t="s">
        <v>358</v>
      </c>
      <c r="B272">
        <v>3</v>
      </c>
      <c r="C272">
        <v>48</v>
      </c>
      <c r="D272" t="s">
        <v>658</v>
      </c>
      <c r="E272">
        <v>6.808</v>
      </c>
      <c r="F272">
        <v>5.4</v>
      </c>
      <c r="G272">
        <v>0.017</v>
      </c>
      <c r="H272">
        <v>5.334</v>
      </c>
      <c r="I272">
        <v>0.314814814814815</v>
      </c>
      <c r="J272">
        <v>98.7777777777778</v>
      </c>
      <c r="K272">
        <v>79.3184488836663</v>
      </c>
      <c r="L272">
        <v>0.249706227967098</v>
      </c>
      <c r="M272">
        <v>0.0490000000000004</v>
      </c>
      <c r="N272">
        <v>0.907407407407414</v>
      </c>
      <c r="O272">
        <v>5.383</v>
      </c>
      <c r="P272" t="s">
        <v>659</v>
      </c>
      <c r="R272">
        <v>0</v>
      </c>
      <c r="S272">
        <v>860</v>
      </c>
      <c r="T272">
        <v>874</v>
      </c>
      <c r="U272">
        <v>865</v>
      </c>
      <c r="V272">
        <v>862</v>
      </c>
      <c r="W272">
        <v>1</v>
      </c>
      <c r="X272">
        <v>1</v>
      </c>
      <c r="Y272" t="s">
        <v>878</v>
      </c>
      <c r="Z272" t="s">
        <v>533</v>
      </c>
      <c r="AA272" t="s">
        <v>661</v>
      </c>
    </row>
    <row r="273" hidden="1" spans="1:27">
      <c r="A273" t="s">
        <v>334</v>
      </c>
      <c r="B273">
        <v>3</v>
      </c>
      <c r="C273">
        <v>26</v>
      </c>
      <c r="D273" t="s">
        <v>658</v>
      </c>
      <c r="E273">
        <v>143.137</v>
      </c>
      <c r="F273">
        <v>142.2</v>
      </c>
      <c r="G273">
        <v>0.439</v>
      </c>
      <c r="H273">
        <v>141.669</v>
      </c>
      <c r="I273">
        <v>0.308720112517581</v>
      </c>
      <c r="J273">
        <v>99.626582278481</v>
      </c>
      <c r="K273">
        <v>99.3453823958864</v>
      </c>
      <c r="L273">
        <v>0.306699176313602</v>
      </c>
      <c r="M273">
        <v>0.0919999999999845</v>
      </c>
      <c r="N273">
        <v>0.0646976090013956</v>
      </c>
      <c r="O273">
        <v>141.761</v>
      </c>
      <c r="P273" t="s">
        <v>659</v>
      </c>
      <c r="R273">
        <v>0</v>
      </c>
      <c r="S273">
        <v>467</v>
      </c>
      <c r="T273">
        <v>481</v>
      </c>
      <c r="U273">
        <v>472</v>
      </c>
      <c r="V273">
        <v>469</v>
      </c>
      <c r="W273">
        <v>1</v>
      </c>
      <c r="X273">
        <v>1</v>
      </c>
      <c r="Y273" t="s">
        <v>885</v>
      </c>
      <c r="Z273" t="s">
        <v>532</v>
      </c>
      <c r="AA273" t="s">
        <v>661</v>
      </c>
    </row>
    <row r="274" hidden="1" spans="1:27">
      <c r="A274" t="s">
        <v>214</v>
      </c>
      <c r="B274">
        <v>3</v>
      </c>
      <c r="C274">
        <v>10</v>
      </c>
      <c r="D274" t="s">
        <v>658</v>
      </c>
      <c r="E274">
        <v>4.135</v>
      </c>
      <c r="F274">
        <v>3.6</v>
      </c>
      <c r="G274">
        <v>0.011</v>
      </c>
      <c r="H274">
        <v>3.591</v>
      </c>
      <c r="I274">
        <v>0.305555555555556</v>
      </c>
      <c r="J274">
        <v>99.75</v>
      </c>
      <c r="K274">
        <v>87.0616686819831</v>
      </c>
      <c r="L274">
        <v>0.26602176541717</v>
      </c>
      <c r="M274">
        <v>-0.00200000000000022</v>
      </c>
      <c r="N274">
        <v>0.0555555555555618</v>
      </c>
      <c r="O274">
        <v>3.589</v>
      </c>
      <c r="P274" t="s">
        <v>659</v>
      </c>
      <c r="R274">
        <v>0</v>
      </c>
      <c r="S274">
        <v>194</v>
      </c>
      <c r="T274">
        <v>208</v>
      </c>
      <c r="U274">
        <v>199</v>
      </c>
      <c r="V274">
        <v>196</v>
      </c>
      <c r="W274">
        <v>1</v>
      </c>
      <c r="X274">
        <v>1</v>
      </c>
      <c r="Y274" t="s">
        <v>886</v>
      </c>
      <c r="Z274" t="s">
        <v>526</v>
      </c>
      <c r="AA274" t="s">
        <v>661</v>
      </c>
    </row>
    <row r="275" hidden="1" spans="1:27">
      <c r="A275" t="s">
        <v>214</v>
      </c>
      <c r="B275">
        <v>3</v>
      </c>
      <c r="C275">
        <v>13</v>
      </c>
      <c r="D275" t="s">
        <v>658</v>
      </c>
      <c r="E275">
        <v>7.298</v>
      </c>
      <c r="F275">
        <v>6.7</v>
      </c>
      <c r="G275">
        <v>0.02</v>
      </c>
      <c r="H275">
        <v>6.654</v>
      </c>
      <c r="I275">
        <v>0.298507462686567</v>
      </c>
      <c r="J275">
        <v>99.3134328358209</v>
      </c>
      <c r="K275">
        <v>91.8059742395177</v>
      </c>
      <c r="L275">
        <v>0.274047684297068</v>
      </c>
      <c r="M275">
        <v>0.0260000000000007</v>
      </c>
      <c r="N275">
        <v>0.388059701492548</v>
      </c>
      <c r="O275">
        <v>6.68</v>
      </c>
      <c r="P275" t="s">
        <v>659</v>
      </c>
      <c r="R275">
        <v>0</v>
      </c>
      <c r="S275">
        <v>243</v>
      </c>
      <c r="T275">
        <v>257</v>
      </c>
      <c r="U275">
        <v>248</v>
      </c>
      <c r="V275">
        <v>245</v>
      </c>
      <c r="W275">
        <v>1</v>
      </c>
      <c r="X275">
        <v>1</v>
      </c>
      <c r="Y275" t="s">
        <v>887</v>
      </c>
      <c r="Z275" t="s">
        <v>526</v>
      </c>
      <c r="AA275" t="s">
        <v>661</v>
      </c>
    </row>
    <row r="276" hidden="1" spans="1:27">
      <c r="A276" t="s">
        <v>358</v>
      </c>
      <c r="B276">
        <v>3</v>
      </c>
      <c r="C276">
        <v>39</v>
      </c>
      <c r="D276" t="s">
        <v>658</v>
      </c>
      <c r="E276">
        <v>13.724</v>
      </c>
      <c r="F276">
        <v>12.3</v>
      </c>
      <c r="G276">
        <v>0.035</v>
      </c>
      <c r="H276">
        <v>12.194</v>
      </c>
      <c r="I276">
        <v>0.284552845528455</v>
      </c>
      <c r="J276">
        <v>99.1382113821138</v>
      </c>
      <c r="K276">
        <v>89.6240163217721</v>
      </c>
      <c r="L276">
        <v>0.25502768872049</v>
      </c>
      <c r="M276">
        <v>0.0709999999999997</v>
      </c>
      <c r="N276">
        <v>0.577235772357721</v>
      </c>
      <c r="O276">
        <v>12.265</v>
      </c>
      <c r="P276" t="s">
        <v>659</v>
      </c>
      <c r="R276">
        <v>0</v>
      </c>
      <c r="S276">
        <v>703</v>
      </c>
      <c r="T276">
        <v>717</v>
      </c>
      <c r="U276">
        <v>708</v>
      </c>
      <c r="V276">
        <v>705</v>
      </c>
      <c r="W276">
        <v>1</v>
      </c>
      <c r="X276">
        <v>1</v>
      </c>
      <c r="Y276" t="s">
        <v>888</v>
      </c>
      <c r="Z276" t="s">
        <v>533</v>
      </c>
      <c r="AA276" t="s">
        <v>661</v>
      </c>
    </row>
    <row r="277" hidden="1" spans="1:27">
      <c r="A277" t="s">
        <v>41</v>
      </c>
      <c r="B277">
        <v>1</v>
      </c>
      <c r="C277">
        <v>11</v>
      </c>
      <c r="D277" t="s">
        <v>658</v>
      </c>
      <c r="E277">
        <v>15.023</v>
      </c>
      <c r="F277">
        <v>14.6</v>
      </c>
      <c r="G277">
        <v>0.04</v>
      </c>
      <c r="H277">
        <v>14.489</v>
      </c>
      <c r="I277">
        <v>0.273972602739726</v>
      </c>
      <c r="J277">
        <v>99.2397260273973</v>
      </c>
      <c r="K277">
        <v>97.1843173800173</v>
      </c>
      <c r="L277">
        <v>0.266258403780869</v>
      </c>
      <c r="M277">
        <v>0.0709999999999997</v>
      </c>
      <c r="N277">
        <v>0.486301369863012</v>
      </c>
      <c r="O277">
        <v>14.56</v>
      </c>
      <c r="P277" t="s">
        <v>659</v>
      </c>
      <c r="R277">
        <v>0</v>
      </c>
      <c r="S277">
        <v>200</v>
      </c>
      <c r="T277">
        <v>214</v>
      </c>
      <c r="U277">
        <v>205</v>
      </c>
      <c r="V277">
        <v>202</v>
      </c>
      <c r="W277">
        <v>1</v>
      </c>
      <c r="X277">
        <v>1</v>
      </c>
      <c r="Y277" t="s">
        <v>889</v>
      </c>
      <c r="Z277" t="s">
        <v>520</v>
      </c>
      <c r="AA277" t="s">
        <v>661</v>
      </c>
    </row>
    <row r="278" hidden="1" spans="1:27">
      <c r="A278" t="s">
        <v>99</v>
      </c>
      <c r="B278">
        <v>1</v>
      </c>
      <c r="C278">
        <v>26</v>
      </c>
      <c r="D278" t="s">
        <v>658</v>
      </c>
      <c r="E278">
        <v>19.868</v>
      </c>
      <c r="F278">
        <v>19.1</v>
      </c>
      <c r="G278">
        <v>0.051</v>
      </c>
      <c r="H278">
        <v>19.041</v>
      </c>
      <c r="I278">
        <v>0.267015706806283</v>
      </c>
      <c r="J278">
        <v>99.6910994764398</v>
      </c>
      <c r="K278">
        <v>96.1344876182807</v>
      </c>
      <c r="L278">
        <v>0.25669418159855</v>
      </c>
      <c r="M278">
        <v>0.00800000000000267</v>
      </c>
      <c r="N278">
        <v>0.0418848167539407</v>
      </c>
      <c r="O278">
        <v>19.049</v>
      </c>
      <c r="P278" t="s">
        <v>659</v>
      </c>
      <c r="R278">
        <v>0</v>
      </c>
      <c r="S278">
        <v>450</v>
      </c>
      <c r="T278">
        <v>464</v>
      </c>
      <c r="U278">
        <v>455</v>
      </c>
      <c r="V278">
        <v>452</v>
      </c>
      <c r="W278">
        <v>1</v>
      </c>
      <c r="X278">
        <v>1</v>
      </c>
      <c r="Y278" t="s">
        <v>890</v>
      </c>
      <c r="Z278" t="s">
        <v>522</v>
      </c>
      <c r="AA278" t="s">
        <v>661</v>
      </c>
    </row>
    <row r="279" hidden="1" spans="1:27">
      <c r="A279" t="s">
        <v>303</v>
      </c>
      <c r="B279">
        <v>2</v>
      </c>
      <c r="C279">
        <v>13</v>
      </c>
      <c r="D279" t="s">
        <v>658</v>
      </c>
      <c r="E279">
        <v>5.044</v>
      </c>
      <c r="F279">
        <v>4.6</v>
      </c>
      <c r="G279">
        <v>0.012</v>
      </c>
      <c r="H279">
        <v>4.536</v>
      </c>
      <c r="I279">
        <v>0.260869565217391</v>
      </c>
      <c r="J279">
        <v>98.6086956521739</v>
      </c>
      <c r="K279">
        <v>91.197462331483</v>
      </c>
      <c r="L279">
        <v>0.237906423473434</v>
      </c>
      <c r="M279">
        <v>0.0520000000000005</v>
      </c>
      <c r="N279">
        <v>1.13043478260871</v>
      </c>
      <c r="O279">
        <v>4.588</v>
      </c>
      <c r="P279" t="s">
        <v>659</v>
      </c>
      <c r="R279">
        <v>0</v>
      </c>
      <c r="S279">
        <v>239</v>
      </c>
      <c r="T279">
        <v>253</v>
      </c>
      <c r="U279">
        <v>244</v>
      </c>
      <c r="V279">
        <v>241</v>
      </c>
      <c r="W279">
        <v>1</v>
      </c>
      <c r="X279">
        <v>1</v>
      </c>
      <c r="Y279" t="s">
        <v>891</v>
      </c>
      <c r="Z279" t="s">
        <v>530</v>
      </c>
      <c r="AA279" t="s">
        <v>661</v>
      </c>
    </row>
    <row r="280" hidden="1" spans="1:27">
      <c r="A280" t="s">
        <v>413</v>
      </c>
      <c r="B280">
        <v>2</v>
      </c>
      <c r="C280">
        <v>27</v>
      </c>
      <c r="D280" t="s">
        <v>658</v>
      </c>
      <c r="E280">
        <v>8.343</v>
      </c>
      <c r="F280">
        <v>7.7</v>
      </c>
      <c r="G280">
        <v>0.02</v>
      </c>
      <c r="H280">
        <v>7.593</v>
      </c>
      <c r="I280">
        <v>0.25974025974026</v>
      </c>
      <c r="J280">
        <v>98.6103896103896</v>
      </c>
      <c r="K280">
        <v>92.2929401893803</v>
      </c>
      <c r="L280">
        <v>0.239721922569819</v>
      </c>
      <c r="M280">
        <v>0.0870000000000006</v>
      </c>
      <c r="N280">
        <v>1.12987012987014</v>
      </c>
      <c r="O280">
        <v>7.68</v>
      </c>
      <c r="P280" t="s">
        <v>659</v>
      </c>
      <c r="R280">
        <v>0</v>
      </c>
      <c r="S280">
        <v>476</v>
      </c>
      <c r="T280">
        <v>490</v>
      </c>
      <c r="U280">
        <v>481</v>
      </c>
      <c r="V280">
        <v>478</v>
      </c>
      <c r="W280">
        <v>1</v>
      </c>
      <c r="X280">
        <v>1</v>
      </c>
      <c r="Y280" t="s">
        <v>865</v>
      </c>
      <c r="Z280" t="s">
        <v>535</v>
      </c>
      <c r="AA280" t="s">
        <v>661</v>
      </c>
    </row>
    <row r="281" hidden="1" spans="1:27">
      <c r="A281" t="s">
        <v>280</v>
      </c>
      <c r="B281">
        <v>2</v>
      </c>
      <c r="C281">
        <v>15</v>
      </c>
      <c r="D281" t="s">
        <v>892</v>
      </c>
      <c r="E281">
        <v>6.93</v>
      </c>
      <c r="F281">
        <v>5.4</v>
      </c>
      <c r="G281">
        <v>0.014</v>
      </c>
      <c r="H281">
        <v>5.334</v>
      </c>
      <c r="I281">
        <v>0.259259259259259</v>
      </c>
      <c r="J281">
        <v>98.7777777777778</v>
      </c>
      <c r="K281">
        <v>77.9220779220779</v>
      </c>
      <c r="L281">
        <v>0.202020202020202</v>
      </c>
      <c r="M281">
        <v>0.0520000000000005</v>
      </c>
      <c r="N281">
        <v>0.962962962962972</v>
      </c>
      <c r="O281">
        <v>5.386</v>
      </c>
      <c r="P281" t="s">
        <v>659</v>
      </c>
      <c r="R281">
        <v>0</v>
      </c>
      <c r="S281">
        <v>278</v>
      </c>
      <c r="T281">
        <v>292</v>
      </c>
      <c r="U281">
        <v>283</v>
      </c>
      <c r="V281">
        <v>280</v>
      </c>
      <c r="W281">
        <v>1</v>
      </c>
      <c r="X281">
        <v>1</v>
      </c>
      <c r="Y281" t="s">
        <v>893</v>
      </c>
      <c r="Z281" t="s">
        <v>529</v>
      </c>
      <c r="AA281" t="s">
        <v>661</v>
      </c>
    </row>
    <row r="282" hidden="1" spans="1:27">
      <c r="A282" t="s">
        <v>413</v>
      </c>
      <c r="B282">
        <v>2</v>
      </c>
      <c r="C282">
        <v>39</v>
      </c>
      <c r="D282" t="s">
        <v>658</v>
      </c>
      <c r="E282">
        <v>3.74</v>
      </c>
      <c r="F282">
        <v>3.1</v>
      </c>
      <c r="G282">
        <v>0.008</v>
      </c>
      <c r="H282">
        <v>3.044</v>
      </c>
      <c r="I282">
        <v>0.258064516129032</v>
      </c>
      <c r="J282">
        <v>98.1935483870968</v>
      </c>
      <c r="K282">
        <v>82.8877005347594</v>
      </c>
      <c r="L282">
        <v>0.213903743315508</v>
      </c>
      <c r="M282">
        <v>0.048</v>
      </c>
      <c r="N282">
        <v>1.54838709677419</v>
      </c>
      <c r="O282">
        <v>3.092</v>
      </c>
      <c r="P282" t="s">
        <v>659</v>
      </c>
      <c r="R282">
        <v>0</v>
      </c>
      <c r="S282">
        <v>678</v>
      </c>
      <c r="T282">
        <v>692</v>
      </c>
      <c r="U282">
        <v>683</v>
      </c>
      <c r="V282">
        <v>680</v>
      </c>
      <c r="W282">
        <v>1</v>
      </c>
      <c r="X282">
        <v>1</v>
      </c>
      <c r="Y282" t="s">
        <v>810</v>
      </c>
      <c r="Z282" t="s">
        <v>535</v>
      </c>
      <c r="AA282" t="s">
        <v>661</v>
      </c>
    </row>
    <row r="283" hidden="1" spans="1:27">
      <c r="A283" t="s">
        <v>358</v>
      </c>
      <c r="B283">
        <v>3</v>
      </c>
      <c r="C283">
        <v>29</v>
      </c>
      <c r="D283" t="s">
        <v>658</v>
      </c>
      <c r="E283">
        <v>8.315</v>
      </c>
      <c r="F283">
        <v>6.9</v>
      </c>
      <c r="G283">
        <v>0.017</v>
      </c>
      <c r="H283">
        <v>6.869</v>
      </c>
      <c r="I283">
        <v>0.246376811594203</v>
      </c>
      <c r="J283">
        <v>99.5507246376812</v>
      </c>
      <c r="K283">
        <v>82.9825616355983</v>
      </c>
      <c r="L283">
        <v>0.204449789536981</v>
      </c>
      <c r="M283">
        <v>0.0140000000000002</v>
      </c>
      <c r="N283">
        <v>0.202898550724641</v>
      </c>
      <c r="O283">
        <v>6.883</v>
      </c>
      <c r="P283" t="s">
        <v>659</v>
      </c>
      <c r="R283">
        <v>0</v>
      </c>
      <c r="S283">
        <v>538</v>
      </c>
      <c r="T283">
        <v>552</v>
      </c>
      <c r="U283">
        <v>543</v>
      </c>
      <c r="V283">
        <v>540</v>
      </c>
      <c r="W283">
        <v>1</v>
      </c>
      <c r="X283">
        <v>1</v>
      </c>
      <c r="Y283" t="s">
        <v>894</v>
      </c>
      <c r="Z283" t="s">
        <v>533</v>
      </c>
      <c r="AA283" t="s">
        <v>661</v>
      </c>
    </row>
    <row r="284" hidden="1" spans="1:27">
      <c r="A284" t="s">
        <v>413</v>
      </c>
      <c r="B284">
        <v>2</v>
      </c>
      <c r="C284">
        <v>38</v>
      </c>
      <c r="D284" t="s">
        <v>658</v>
      </c>
      <c r="E284">
        <v>4.597</v>
      </c>
      <c r="F284">
        <v>3.9</v>
      </c>
      <c r="G284">
        <v>0.009</v>
      </c>
      <c r="H284">
        <v>3.872</v>
      </c>
      <c r="I284">
        <v>0.230769230769231</v>
      </c>
      <c r="J284">
        <v>99.2820512820513</v>
      </c>
      <c r="K284">
        <v>84.8379377855123</v>
      </c>
      <c r="L284">
        <v>0.195779856428105</v>
      </c>
      <c r="M284">
        <v>0.0190000000000001</v>
      </c>
      <c r="N284">
        <v>0.487179487179491</v>
      </c>
      <c r="O284">
        <v>3.891</v>
      </c>
      <c r="P284" t="s">
        <v>659</v>
      </c>
      <c r="R284">
        <v>0</v>
      </c>
      <c r="S284">
        <v>661</v>
      </c>
      <c r="T284">
        <v>675</v>
      </c>
      <c r="U284">
        <v>666</v>
      </c>
      <c r="V284">
        <v>663</v>
      </c>
      <c r="W284">
        <v>1</v>
      </c>
      <c r="X284">
        <v>1</v>
      </c>
      <c r="Y284" t="s">
        <v>810</v>
      </c>
      <c r="Z284" t="s">
        <v>535</v>
      </c>
      <c r="AA284" t="s">
        <v>661</v>
      </c>
    </row>
    <row r="285" hidden="1" spans="1:27">
      <c r="A285" t="s">
        <v>214</v>
      </c>
      <c r="B285">
        <v>3</v>
      </c>
      <c r="C285">
        <v>9</v>
      </c>
      <c r="D285" t="s">
        <v>658</v>
      </c>
      <c r="E285">
        <v>3.955</v>
      </c>
      <c r="F285">
        <v>3.5</v>
      </c>
      <c r="G285">
        <v>0.008</v>
      </c>
      <c r="H285">
        <v>3.456</v>
      </c>
      <c r="I285">
        <v>0.228571428571429</v>
      </c>
      <c r="J285">
        <v>98.7428571428571</v>
      </c>
      <c r="K285">
        <v>88.4955752212389</v>
      </c>
      <c r="L285">
        <v>0.202275600505689</v>
      </c>
      <c r="M285">
        <v>0.036</v>
      </c>
      <c r="N285">
        <v>1.02857142857143</v>
      </c>
      <c r="O285">
        <v>3.492</v>
      </c>
      <c r="P285" t="s">
        <v>659</v>
      </c>
      <c r="R285">
        <v>0</v>
      </c>
      <c r="S285">
        <v>177</v>
      </c>
      <c r="T285">
        <v>191</v>
      </c>
      <c r="U285">
        <v>182</v>
      </c>
      <c r="V285">
        <v>179</v>
      </c>
      <c r="W285">
        <v>1</v>
      </c>
      <c r="X285">
        <v>1</v>
      </c>
      <c r="Y285" t="s">
        <v>895</v>
      </c>
      <c r="Z285" t="s">
        <v>526</v>
      </c>
      <c r="AA285" t="s">
        <v>661</v>
      </c>
    </row>
    <row r="286" hidden="1" spans="1:27">
      <c r="A286" t="s">
        <v>144</v>
      </c>
      <c r="B286">
        <v>2</v>
      </c>
      <c r="C286">
        <v>8</v>
      </c>
      <c r="D286" t="s">
        <v>670</v>
      </c>
      <c r="E286">
        <v>4.124</v>
      </c>
      <c r="F286">
        <v>3.1</v>
      </c>
      <c r="G286">
        <v>0.007</v>
      </c>
      <c r="H286">
        <v>3.045</v>
      </c>
      <c r="I286">
        <v>0.225806451612903</v>
      </c>
      <c r="J286">
        <v>98.2258064516129</v>
      </c>
      <c r="K286">
        <v>75.1697381183317</v>
      </c>
      <c r="L286">
        <v>0.169738118331717</v>
      </c>
      <c r="M286">
        <v>0.048</v>
      </c>
      <c r="N286">
        <v>1.54838709677419</v>
      </c>
      <c r="O286">
        <v>3.093</v>
      </c>
      <c r="P286" t="s">
        <v>659</v>
      </c>
      <c r="R286">
        <v>0</v>
      </c>
      <c r="S286">
        <v>137</v>
      </c>
      <c r="T286">
        <v>151</v>
      </c>
      <c r="U286">
        <v>142</v>
      </c>
      <c r="V286">
        <v>139</v>
      </c>
      <c r="W286">
        <v>1</v>
      </c>
      <c r="X286">
        <v>1</v>
      </c>
      <c r="Y286" t="s">
        <v>896</v>
      </c>
      <c r="Z286" t="s">
        <v>524</v>
      </c>
      <c r="AA286" t="s">
        <v>661</v>
      </c>
    </row>
    <row r="287" hidden="1" spans="1:27">
      <c r="A287" t="s">
        <v>413</v>
      </c>
      <c r="B287">
        <v>2</v>
      </c>
      <c r="C287">
        <v>32</v>
      </c>
      <c r="D287" t="s">
        <v>658</v>
      </c>
      <c r="E287">
        <v>7.607</v>
      </c>
      <c r="F287">
        <v>6.8</v>
      </c>
      <c r="G287">
        <v>0.015</v>
      </c>
      <c r="H287">
        <v>6.776</v>
      </c>
      <c r="I287">
        <v>0.220588235294118</v>
      </c>
      <c r="J287">
        <v>99.6470588235294</v>
      </c>
      <c r="K287">
        <v>89.3913500723018</v>
      </c>
      <c r="L287">
        <v>0.197186801630078</v>
      </c>
      <c r="M287">
        <v>0.00900000000000034</v>
      </c>
      <c r="N287">
        <v>0.132352941176476</v>
      </c>
      <c r="O287">
        <v>6.785</v>
      </c>
      <c r="P287" t="s">
        <v>659</v>
      </c>
      <c r="R287">
        <v>0</v>
      </c>
      <c r="S287">
        <v>559</v>
      </c>
      <c r="T287">
        <v>573</v>
      </c>
      <c r="U287">
        <v>564</v>
      </c>
      <c r="V287">
        <v>561</v>
      </c>
      <c r="W287">
        <v>1</v>
      </c>
      <c r="X287">
        <v>1</v>
      </c>
      <c r="Y287" t="s">
        <v>897</v>
      </c>
      <c r="Z287" t="s">
        <v>535</v>
      </c>
      <c r="AA287" t="s">
        <v>661</v>
      </c>
    </row>
    <row r="288" hidden="1" spans="1:27">
      <c r="A288" t="s">
        <v>358</v>
      </c>
      <c r="B288">
        <v>3</v>
      </c>
      <c r="C288">
        <v>31</v>
      </c>
      <c r="D288" t="s">
        <v>658</v>
      </c>
      <c r="E288">
        <v>10.15</v>
      </c>
      <c r="F288">
        <v>9.1</v>
      </c>
      <c r="G288">
        <v>0.02</v>
      </c>
      <c r="H288">
        <v>9.054</v>
      </c>
      <c r="I288">
        <v>0.21978021978022</v>
      </c>
      <c r="J288">
        <v>99.4945054945055</v>
      </c>
      <c r="K288">
        <v>89.6551724137931</v>
      </c>
      <c r="L288">
        <v>0.197044334975369</v>
      </c>
      <c r="M288">
        <v>0.0259999999999998</v>
      </c>
      <c r="N288">
        <v>0.285714285714284</v>
      </c>
      <c r="O288">
        <v>9.08</v>
      </c>
      <c r="P288" t="s">
        <v>659</v>
      </c>
      <c r="R288">
        <v>0</v>
      </c>
      <c r="S288">
        <v>570</v>
      </c>
      <c r="T288">
        <v>584</v>
      </c>
      <c r="U288">
        <v>575</v>
      </c>
      <c r="V288">
        <v>572</v>
      </c>
      <c r="W288">
        <v>1</v>
      </c>
      <c r="X288">
        <v>1</v>
      </c>
      <c r="Y288" t="s">
        <v>898</v>
      </c>
      <c r="Z288" t="s">
        <v>533</v>
      </c>
      <c r="AA288" t="s">
        <v>661</v>
      </c>
    </row>
    <row r="289" hidden="1" spans="1:27">
      <c r="A289" t="s">
        <v>358</v>
      </c>
      <c r="B289">
        <v>3</v>
      </c>
      <c r="C289">
        <v>33</v>
      </c>
      <c r="D289" t="s">
        <v>658</v>
      </c>
      <c r="E289">
        <v>11.425</v>
      </c>
      <c r="F289">
        <v>9.3</v>
      </c>
      <c r="G289">
        <v>0.02</v>
      </c>
      <c r="H289">
        <v>9.286</v>
      </c>
      <c r="I289">
        <v>0.21505376344086</v>
      </c>
      <c r="J289">
        <v>99.8494623655914</v>
      </c>
      <c r="K289">
        <v>81.4004376367615</v>
      </c>
      <c r="L289">
        <v>0.175054704595186</v>
      </c>
      <c r="M289">
        <v>-0.00599999999999845</v>
      </c>
      <c r="N289">
        <v>0.0645161290322414</v>
      </c>
      <c r="O289">
        <v>9.28</v>
      </c>
      <c r="P289" t="s">
        <v>659</v>
      </c>
      <c r="R289">
        <v>0</v>
      </c>
      <c r="S289">
        <v>603</v>
      </c>
      <c r="T289">
        <v>617</v>
      </c>
      <c r="U289">
        <v>608</v>
      </c>
      <c r="V289">
        <v>605</v>
      </c>
      <c r="W289">
        <v>1</v>
      </c>
      <c r="X289">
        <v>1</v>
      </c>
      <c r="Y289" t="s">
        <v>899</v>
      </c>
      <c r="Z289" t="s">
        <v>533</v>
      </c>
      <c r="AA289" t="s">
        <v>661</v>
      </c>
    </row>
    <row r="290" hidden="1" spans="1:27">
      <c r="A290" t="s">
        <v>134</v>
      </c>
      <c r="B290">
        <v>3</v>
      </c>
      <c r="C290">
        <v>5</v>
      </c>
      <c r="D290" t="s">
        <v>900</v>
      </c>
      <c r="E290">
        <v>7.218</v>
      </c>
      <c r="F290">
        <v>6.6</v>
      </c>
      <c r="G290">
        <v>0.014</v>
      </c>
      <c r="H290">
        <v>6.589</v>
      </c>
      <c r="I290">
        <v>0.212121212121212</v>
      </c>
      <c r="J290">
        <v>99.8333333333333</v>
      </c>
      <c r="K290">
        <v>91.4380714879468</v>
      </c>
      <c r="L290">
        <v>0.193959545580493</v>
      </c>
      <c r="M290">
        <v>-0.003000000000001</v>
      </c>
      <c r="N290">
        <v>0.0454545454545606</v>
      </c>
      <c r="O290">
        <v>6.586</v>
      </c>
      <c r="P290" t="s">
        <v>659</v>
      </c>
      <c r="R290">
        <v>0</v>
      </c>
      <c r="S290">
        <v>104</v>
      </c>
      <c r="T290">
        <v>118</v>
      </c>
      <c r="U290">
        <v>109</v>
      </c>
      <c r="V290">
        <v>106</v>
      </c>
      <c r="W290">
        <v>1</v>
      </c>
      <c r="X290">
        <v>1</v>
      </c>
      <c r="Y290" t="s">
        <v>901</v>
      </c>
      <c r="Z290" t="s">
        <v>523</v>
      </c>
      <c r="AA290" t="s">
        <v>661</v>
      </c>
    </row>
    <row r="291" hidden="1" spans="1:27">
      <c r="A291" t="s">
        <v>334</v>
      </c>
      <c r="B291">
        <v>3</v>
      </c>
      <c r="C291">
        <v>10</v>
      </c>
      <c r="D291" t="s">
        <v>699</v>
      </c>
      <c r="E291">
        <v>25.099</v>
      </c>
      <c r="F291">
        <v>24.4</v>
      </c>
      <c r="G291">
        <v>0.05</v>
      </c>
      <c r="H291">
        <v>24.353</v>
      </c>
      <c r="I291">
        <v>0.204918032786885</v>
      </c>
      <c r="J291">
        <v>99.8073770491803</v>
      </c>
      <c r="K291">
        <v>97.2150284871907</v>
      </c>
      <c r="L291">
        <v>0.199211123949161</v>
      </c>
      <c r="M291">
        <v>-0.00300000000000367</v>
      </c>
      <c r="N291">
        <v>0.0122950819672281</v>
      </c>
      <c r="O291">
        <v>24.35</v>
      </c>
      <c r="P291" t="s">
        <v>659</v>
      </c>
      <c r="R291">
        <v>0</v>
      </c>
      <c r="S291">
        <v>185</v>
      </c>
      <c r="T291">
        <v>199</v>
      </c>
      <c r="U291">
        <v>190</v>
      </c>
      <c r="V291">
        <v>187</v>
      </c>
      <c r="W291">
        <v>1</v>
      </c>
      <c r="X291">
        <v>1</v>
      </c>
      <c r="Y291" t="s">
        <v>902</v>
      </c>
      <c r="Z291" t="s">
        <v>532</v>
      </c>
      <c r="AA291" t="s">
        <v>661</v>
      </c>
    </row>
    <row r="292" hidden="1" spans="1:27">
      <c r="A292" t="s">
        <v>259</v>
      </c>
      <c r="B292">
        <v>1</v>
      </c>
      <c r="C292">
        <v>18</v>
      </c>
      <c r="D292" t="s">
        <v>658</v>
      </c>
      <c r="E292">
        <v>6.058</v>
      </c>
      <c r="F292">
        <v>5</v>
      </c>
      <c r="G292">
        <v>0.01</v>
      </c>
      <c r="H292">
        <v>4.978</v>
      </c>
      <c r="I292">
        <v>0.2</v>
      </c>
      <c r="J292">
        <v>99.56</v>
      </c>
      <c r="K292">
        <v>82.5354902608122</v>
      </c>
      <c r="L292">
        <v>0.165070980521624</v>
      </c>
      <c r="M292">
        <v>0.0120000000000005</v>
      </c>
      <c r="N292">
        <v>0.240000000000009</v>
      </c>
      <c r="O292">
        <v>4.99</v>
      </c>
      <c r="P292" t="s">
        <v>659</v>
      </c>
      <c r="R292">
        <v>0</v>
      </c>
      <c r="S292">
        <v>330</v>
      </c>
      <c r="T292">
        <v>344</v>
      </c>
      <c r="U292">
        <v>335</v>
      </c>
      <c r="V292">
        <v>332</v>
      </c>
      <c r="W292">
        <v>1</v>
      </c>
      <c r="X292">
        <v>1</v>
      </c>
      <c r="Y292" t="s">
        <v>903</v>
      </c>
      <c r="Z292" t="s">
        <v>528</v>
      </c>
      <c r="AA292" t="s">
        <v>661</v>
      </c>
    </row>
    <row r="293" hidden="1" spans="1:27">
      <c r="A293" t="s">
        <v>358</v>
      </c>
      <c r="B293">
        <v>3</v>
      </c>
      <c r="C293">
        <v>34</v>
      </c>
      <c r="D293" t="s">
        <v>658</v>
      </c>
      <c r="E293">
        <v>10.991</v>
      </c>
      <c r="F293">
        <v>9.7</v>
      </c>
      <c r="G293">
        <v>0.019</v>
      </c>
      <c r="H293">
        <v>9.651</v>
      </c>
      <c r="I293">
        <v>0.195876288659794</v>
      </c>
      <c r="J293">
        <v>99.4948453608247</v>
      </c>
      <c r="K293">
        <v>88.2540260212901</v>
      </c>
      <c r="L293">
        <v>0.172868710763352</v>
      </c>
      <c r="M293">
        <v>0.0299999999999994</v>
      </c>
      <c r="N293">
        <v>0.309278350515457</v>
      </c>
      <c r="O293">
        <v>9.681</v>
      </c>
      <c r="P293" t="s">
        <v>659</v>
      </c>
      <c r="R293">
        <v>0</v>
      </c>
      <c r="S293">
        <v>619</v>
      </c>
      <c r="T293">
        <v>633</v>
      </c>
      <c r="U293">
        <v>624</v>
      </c>
      <c r="V293">
        <v>621</v>
      </c>
      <c r="W293">
        <v>1</v>
      </c>
      <c r="X293">
        <v>1</v>
      </c>
      <c r="Y293" t="s">
        <v>904</v>
      </c>
      <c r="Z293" t="s">
        <v>533</v>
      </c>
      <c r="AA293" t="s">
        <v>661</v>
      </c>
    </row>
    <row r="294" hidden="1" spans="1:27">
      <c r="A294" t="s">
        <v>413</v>
      </c>
      <c r="B294">
        <v>2</v>
      </c>
      <c r="C294">
        <v>30</v>
      </c>
      <c r="D294" t="s">
        <v>658</v>
      </c>
      <c r="E294">
        <v>7.974</v>
      </c>
      <c r="F294">
        <v>7.3</v>
      </c>
      <c r="G294">
        <v>0.014</v>
      </c>
      <c r="H294">
        <v>7.25</v>
      </c>
      <c r="I294">
        <v>0.191780821917808</v>
      </c>
      <c r="J294">
        <v>99.3150684931507</v>
      </c>
      <c r="K294">
        <v>91.54752947078</v>
      </c>
      <c r="L294">
        <v>0.17557060446451</v>
      </c>
      <c r="M294">
        <v>0.0359999999999996</v>
      </c>
      <c r="N294">
        <v>0.493150684931501</v>
      </c>
      <c r="O294">
        <v>7.286</v>
      </c>
      <c r="P294" t="s">
        <v>659</v>
      </c>
      <c r="R294">
        <v>0</v>
      </c>
      <c r="S294">
        <v>526</v>
      </c>
      <c r="T294">
        <v>540</v>
      </c>
      <c r="U294">
        <v>531</v>
      </c>
      <c r="V294">
        <v>528</v>
      </c>
      <c r="W294">
        <v>1</v>
      </c>
      <c r="X294">
        <v>1</v>
      </c>
      <c r="Y294" t="s">
        <v>897</v>
      </c>
      <c r="Z294" t="s">
        <v>535</v>
      </c>
      <c r="AA294" t="s">
        <v>661</v>
      </c>
    </row>
    <row r="295" hidden="1" spans="1:27">
      <c r="A295" t="s">
        <v>413</v>
      </c>
      <c r="B295">
        <v>2</v>
      </c>
      <c r="C295">
        <v>35</v>
      </c>
      <c r="D295" t="s">
        <v>658</v>
      </c>
      <c r="E295">
        <v>7.327</v>
      </c>
      <c r="F295">
        <v>6.5</v>
      </c>
      <c r="G295">
        <v>0.012</v>
      </c>
      <c r="H295">
        <v>6.419</v>
      </c>
      <c r="I295">
        <v>0.184615384615385</v>
      </c>
      <c r="J295">
        <v>98.7538461538462</v>
      </c>
      <c r="K295">
        <v>88.7129793912925</v>
      </c>
      <c r="L295">
        <v>0.163777808107001</v>
      </c>
      <c r="M295">
        <v>0.0690000000000008</v>
      </c>
      <c r="N295">
        <v>1.06153846153847</v>
      </c>
      <c r="O295">
        <v>6.488</v>
      </c>
      <c r="P295" t="s">
        <v>659</v>
      </c>
      <c r="R295">
        <v>0</v>
      </c>
      <c r="S295">
        <v>610</v>
      </c>
      <c r="T295">
        <v>624</v>
      </c>
      <c r="U295">
        <v>615</v>
      </c>
      <c r="V295">
        <v>612</v>
      </c>
      <c r="W295">
        <v>1</v>
      </c>
      <c r="X295">
        <v>1</v>
      </c>
      <c r="Y295" t="s">
        <v>905</v>
      </c>
      <c r="Z295" t="s">
        <v>535</v>
      </c>
      <c r="AA295" t="s">
        <v>661</v>
      </c>
    </row>
    <row r="296" hidden="1" spans="1:27">
      <c r="A296" t="s">
        <v>413</v>
      </c>
      <c r="B296">
        <v>2</v>
      </c>
      <c r="C296">
        <v>31</v>
      </c>
      <c r="D296" t="s">
        <v>658</v>
      </c>
      <c r="E296">
        <v>6.665</v>
      </c>
      <c r="F296">
        <v>6</v>
      </c>
      <c r="G296">
        <v>0.011</v>
      </c>
      <c r="H296">
        <v>5.935</v>
      </c>
      <c r="I296">
        <v>0.183333333333333</v>
      </c>
      <c r="J296">
        <v>98.9166666666667</v>
      </c>
      <c r="K296">
        <v>90.0225056264066</v>
      </c>
      <c r="L296">
        <v>0.165041260315079</v>
      </c>
      <c r="M296">
        <v>0.0540000000000003</v>
      </c>
      <c r="N296">
        <v>0.900000000000004</v>
      </c>
      <c r="O296">
        <v>5.989</v>
      </c>
      <c r="P296" t="s">
        <v>659</v>
      </c>
      <c r="R296">
        <v>0</v>
      </c>
      <c r="S296">
        <v>542</v>
      </c>
      <c r="T296">
        <v>556</v>
      </c>
      <c r="U296">
        <v>547</v>
      </c>
      <c r="V296">
        <v>544</v>
      </c>
      <c r="W296">
        <v>1</v>
      </c>
      <c r="X296">
        <v>1</v>
      </c>
      <c r="Y296" t="s">
        <v>897</v>
      </c>
      <c r="Z296" t="s">
        <v>535</v>
      </c>
      <c r="AA296" t="s">
        <v>661</v>
      </c>
    </row>
    <row r="297" hidden="1" spans="1:27">
      <c r="A297" t="s">
        <v>413</v>
      </c>
      <c r="B297">
        <v>2</v>
      </c>
      <c r="C297">
        <v>34</v>
      </c>
      <c r="D297" t="s">
        <v>658</v>
      </c>
      <c r="E297">
        <v>6.177</v>
      </c>
      <c r="F297">
        <v>5.5</v>
      </c>
      <c r="G297">
        <v>0.01</v>
      </c>
      <c r="H297">
        <v>5.484</v>
      </c>
      <c r="I297">
        <v>0.181818181818182</v>
      </c>
      <c r="J297">
        <v>99.7090909090909</v>
      </c>
      <c r="K297">
        <v>89.0399870487292</v>
      </c>
      <c r="L297">
        <v>0.161890885543144</v>
      </c>
      <c r="M297">
        <v>0.00600000000000023</v>
      </c>
      <c r="N297">
        <v>0.109090909090913</v>
      </c>
      <c r="O297">
        <v>5.49</v>
      </c>
      <c r="P297" t="s">
        <v>659</v>
      </c>
      <c r="R297">
        <v>0</v>
      </c>
      <c r="S297">
        <v>593</v>
      </c>
      <c r="T297">
        <v>607</v>
      </c>
      <c r="U297">
        <v>598</v>
      </c>
      <c r="V297">
        <v>595</v>
      </c>
      <c r="W297">
        <v>1</v>
      </c>
      <c r="X297">
        <v>1</v>
      </c>
      <c r="Y297" t="s">
        <v>905</v>
      </c>
      <c r="Z297" t="s">
        <v>535</v>
      </c>
      <c r="AA297" t="s">
        <v>661</v>
      </c>
    </row>
    <row r="298" hidden="1" spans="1:27">
      <c r="A298" t="s">
        <v>457</v>
      </c>
      <c r="B298">
        <v>3</v>
      </c>
      <c r="C298">
        <v>7</v>
      </c>
      <c r="D298" t="s">
        <v>658</v>
      </c>
      <c r="E298">
        <v>5.998</v>
      </c>
      <c r="F298">
        <v>5.5</v>
      </c>
      <c r="G298">
        <v>0.01</v>
      </c>
      <c r="H298">
        <v>5.498</v>
      </c>
      <c r="I298">
        <v>0.181818181818182</v>
      </c>
      <c r="J298">
        <v>99.9636363636364</v>
      </c>
      <c r="K298">
        <v>91.6972324108036</v>
      </c>
      <c r="L298">
        <v>0.166722240746916</v>
      </c>
      <c r="M298">
        <v>-0.00800000000000001</v>
      </c>
      <c r="N298">
        <v>0.145454545454546</v>
      </c>
      <c r="O298">
        <v>5.49</v>
      </c>
      <c r="P298" t="s">
        <v>659</v>
      </c>
      <c r="R298">
        <v>0</v>
      </c>
      <c r="S298">
        <v>137</v>
      </c>
      <c r="T298">
        <v>151</v>
      </c>
      <c r="U298">
        <v>142</v>
      </c>
      <c r="V298">
        <v>139</v>
      </c>
      <c r="W298">
        <v>1</v>
      </c>
      <c r="X298">
        <v>1</v>
      </c>
      <c r="Y298" t="s">
        <v>906</v>
      </c>
      <c r="Z298" t="s">
        <v>537</v>
      </c>
      <c r="AA298" t="s">
        <v>661</v>
      </c>
    </row>
    <row r="299" hidden="1" spans="1:27">
      <c r="A299" t="s">
        <v>358</v>
      </c>
      <c r="B299">
        <v>3</v>
      </c>
      <c r="C299">
        <v>36</v>
      </c>
      <c r="D299" t="s">
        <v>723</v>
      </c>
      <c r="E299">
        <v>10.918</v>
      </c>
      <c r="F299">
        <v>9.9</v>
      </c>
      <c r="G299">
        <v>0.018</v>
      </c>
      <c r="H299">
        <v>9.788</v>
      </c>
      <c r="I299">
        <v>0.181818181818182</v>
      </c>
      <c r="J299">
        <v>98.8686868686869</v>
      </c>
      <c r="K299">
        <v>90.6759479758198</v>
      </c>
      <c r="L299">
        <v>0.164865359956036</v>
      </c>
      <c r="M299">
        <v>0.0939999999999994</v>
      </c>
      <c r="N299">
        <v>0.949494949494944</v>
      </c>
      <c r="O299">
        <v>9.882</v>
      </c>
      <c r="P299" t="s">
        <v>659</v>
      </c>
      <c r="R299">
        <v>0</v>
      </c>
      <c r="S299">
        <v>652</v>
      </c>
      <c r="T299">
        <v>666</v>
      </c>
      <c r="U299">
        <v>657</v>
      </c>
      <c r="V299">
        <v>654</v>
      </c>
      <c r="W299">
        <v>1</v>
      </c>
      <c r="X299">
        <v>1</v>
      </c>
      <c r="Y299" t="s">
        <v>907</v>
      </c>
      <c r="Z299" t="s">
        <v>533</v>
      </c>
      <c r="AA299" t="s">
        <v>661</v>
      </c>
    </row>
    <row r="300" hidden="1" spans="1:27">
      <c r="A300" t="s">
        <v>358</v>
      </c>
      <c r="B300">
        <v>3</v>
      </c>
      <c r="C300">
        <v>37</v>
      </c>
      <c r="D300" t="s">
        <v>658</v>
      </c>
      <c r="E300">
        <v>11.413</v>
      </c>
      <c r="F300">
        <v>9.4</v>
      </c>
      <c r="G300">
        <v>0.017</v>
      </c>
      <c r="H300">
        <v>9.267</v>
      </c>
      <c r="I300">
        <v>0.180851063829787</v>
      </c>
      <c r="J300">
        <v>98.5851063829787</v>
      </c>
      <c r="K300">
        <v>82.3622185227372</v>
      </c>
      <c r="L300">
        <v>0.148952948392184</v>
      </c>
      <c r="M300">
        <v>0.116000000000001</v>
      </c>
      <c r="N300">
        <v>1.2340425531915</v>
      </c>
      <c r="O300">
        <v>9.383</v>
      </c>
      <c r="P300" t="s">
        <v>659</v>
      </c>
      <c r="R300">
        <v>0</v>
      </c>
      <c r="S300">
        <v>669</v>
      </c>
      <c r="T300">
        <v>683</v>
      </c>
      <c r="U300">
        <v>674</v>
      </c>
      <c r="V300">
        <v>671</v>
      </c>
      <c r="W300">
        <v>1</v>
      </c>
      <c r="X300">
        <v>1</v>
      </c>
      <c r="Y300" t="s">
        <v>908</v>
      </c>
      <c r="Z300" t="s">
        <v>533</v>
      </c>
      <c r="AA300" t="s">
        <v>661</v>
      </c>
    </row>
    <row r="301" hidden="1" spans="1:27">
      <c r="A301" t="s">
        <v>259</v>
      </c>
      <c r="B301">
        <v>1</v>
      </c>
      <c r="C301">
        <v>17</v>
      </c>
      <c r="D301" t="s">
        <v>658</v>
      </c>
      <c r="E301">
        <v>5.962</v>
      </c>
      <c r="F301">
        <v>5</v>
      </c>
      <c r="G301">
        <v>0.009</v>
      </c>
      <c r="H301">
        <v>4.946</v>
      </c>
      <c r="I301">
        <v>0.18</v>
      </c>
      <c r="J301">
        <v>98.92</v>
      </c>
      <c r="K301">
        <v>83.8644750083864</v>
      </c>
      <c r="L301">
        <v>0.150956055015096</v>
      </c>
      <c r="M301">
        <v>0.0449999999999999</v>
      </c>
      <c r="N301">
        <v>0.899999999999999</v>
      </c>
      <c r="O301">
        <v>4.991</v>
      </c>
      <c r="P301" t="s">
        <v>659</v>
      </c>
      <c r="R301">
        <v>0</v>
      </c>
      <c r="S301">
        <v>314</v>
      </c>
      <c r="T301">
        <v>328</v>
      </c>
      <c r="U301">
        <v>319</v>
      </c>
      <c r="V301">
        <v>316</v>
      </c>
      <c r="W301">
        <v>1</v>
      </c>
      <c r="X301">
        <v>1</v>
      </c>
      <c r="Y301" t="s">
        <v>909</v>
      </c>
      <c r="Z301" t="s">
        <v>528</v>
      </c>
      <c r="AA301" t="s">
        <v>661</v>
      </c>
    </row>
    <row r="302" hidden="1" spans="1:27">
      <c r="A302" t="s">
        <v>358</v>
      </c>
      <c r="B302">
        <v>3</v>
      </c>
      <c r="C302">
        <v>30</v>
      </c>
      <c r="D302" t="s">
        <v>658</v>
      </c>
      <c r="E302">
        <v>9.846</v>
      </c>
      <c r="F302">
        <v>8.9</v>
      </c>
      <c r="G302">
        <v>0.016</v>
      </c>
      <c r="H302">
        <v>8.84</v>
      </c>
      <c r="I302">
        <v>0.179775280898876</v>
      </c>
      <c r="J302">
        <v>99.3258426966292</v>
      </c>
      <c r="K302">
        <v>90.392037375584</v>
      </c>
      <c r="L302">
        <v>0.162502539102173</v>
      </c>
      <c r="M302">
        <v>0.0440000000000005</v>
      </c>
      <c r="N302">
        <v>0.494382022471916</v>
      </c>
      <c r="O302">
        <v>8.884</v>
      </c>
      <c r="P302" t="s">
        <v>659</v>
      </c>
      <c r="R302">
        <v>0</v>
      </c>
      <c r="S302">
        <v>554</v>
      </c>
      <c r="T302">
        <v>568</v>
      </c>
      <c r="U302">
        <v>559</v>
      </c>
      <c r="V302">
        <v>556</v>
      </c>
      <c r="W302">
        <v>1</v>
      </c>
      <c r="X302">
        <v>1</v>
      </c>
      <c r="Y302" t="s">
        <v>910</v>
      </c>
      <c r="Z302" t="s">
        <v>533</v>
      </c>
      <c r="AA302" t="s">
        <v>661</v>
      </c>
    </row>
    <row r="303" hidden="1" spans="1:27">
      <c r="A303" t="s">
        <v>413</v>
      </c>
      <c r="B303">
        <v>2</v>
      </c>
      <c r="C303">
        <v>36</v>
      </c>
      <c r="D303" t="s">
        <v>658</v>
      </c>
      <c r="E303">
        <v>6.87</v>
      </c>
      <c r="F303">
        <v>6.2</v>
      </c>
      <c r="G303">
        <v>0.011</v>
      </c>
      <c r="H303">
        <v>6.119</v>
      </c>
      <c r="I303">
        <v>0.17741935483871</v>
      </c>
      <c r="J303">
        <v>98.6935483870968</v>
      </c>
      <c r="K303">
        <v>90.2474526928675</v>
      </c>
      <c r="L303">
        <v>0.160116448326055</v>
      </c>
      <c r="M303">
        <v>0.0700000000000003</v>
      </c>
      <c r="N303">
        <v>1.12903225806452</v>
      </c>
      <c r="O303">
        <v>6.189</v>
      </c>
      <c r="P303" t="s">
        <v>659</v>
      </c>
      <c r="R303">
        <v>0</v>
      </c>
      <c r="S303">
        <v>627</v>
      </c>
      <c r="T303">
        <v>641</v>
      </c>
      <c r="U303">
        <v>632</v>
      </c>
      <c r="V303">
        <v>629</v>
      </c>
      <c r="W303">
        <v>1</v>
      </c>
      <c r="X303">
        <v>1</v>
      </c>
      <c r="Y303" t="s">
        <v>911</v>
      </c>
      <c r="Z303" t="s">
        <v>535</v>
      </c>
      <c r="AA303" t="s">
        <v>661</v>
      </c>
    </row>
    <row r="304" hidden="1" spans="1:27">
      <c r="A304" t="s">
        <v>259</v>
      </c>
      <c r="B304">
        <v>1</v>
      </c>
      <c r="C304">
        <v>22</v>
      </c>
      <c r="D304" t="s">
        <v>658</v>
      </c>
      <c r="E304">
        <v>7.304</v>
      </c>
      <c r="F304">
        <v>5.7</v>
      </c>
      <c r="G304">
        <v>0.01</v>
      </c>
      <c r="H304">
        <v>5.618</v>
      </c>
      <c r="I304">
        <v>0.175438596491228</v>
      </c>
      <c r="J304">
        <v>98.5614035087719</v>
      </c>
      <c r="K304">
        <v>78.039430449069</v>
      </c>
      <c r="L304">
        <v>0.136911281489595</v>
      </c>
      <c r="M304">
        <v>0.0720000000000001</v>
      </c>
      <c r="N304">
        <v>1.26315789473684</v>
      </c>
      <c r="O304">
        <v>5.69</v>
      </c>
      <c r="P304" t="s">
        <v>659</v>
      </c>
      <c r="R304">
        <v>0</v>
      </c>
      <c r="S304">
        <v>394</v>
      </c>
      <c r="T304">
        <v>408</v>
      </c>
      <c r="U304">
        <v>399</v>
      </c>
      <c r="V304">
        <v>396</v>
      </c>
      <c r="W304">
        <v>1</v>
      </c>
      <c r="X304">
        <v>1</v>
      </c>
      <c r="Y304" t="s">
        <v>912</v>
      </c>
      <c r="Z304" t="s">
        <v>528</v>
      </c>
      <c r="AA304" t="s">
        <v>661</v>
      </c>
    </row>
    <row r="305" hidden="1" spans="1:27">
      <c r="A305" t="s">
        <v>168</v>
      </c>
      <c r="B305">
        <v>1</v>
      </c>
      <c r="C305">
        <v>37</v>
      </c>
      <c r="D305" t="s">
        <v>658</v>
      </c>
      <c r="E305">
        <v>79.493</v>
      </c>
      <c r="F305">
        <v>77.8</v>
      </c>
      <c r="G305">
        <v>0.136</v>
      </c>
      <c r="H305">
        <v>77.565</v>
      </c>
      <c r="I305">
        <v>0.174807197943445</v>
      </c>
      <c r="J305">
        <v>99.6979434447301</v>
      </c>
      <c r="K305">
        <v>97.8702527266552</v>
      </c>
      <c r="L305">
        <v>0.171084246411634</v>
      </c>
      <c r="M305">
        <v>0.0990000000000038</v>
      </c>
      <c r="N305">
        <v>0.127249357326483</v>
      </c>
      <c r="O305">
        <v>77.664</v>
      </c>
      <c r="P305" t="s">
        <v>659</v>
      </c>
      <c r="R305">
        <v>0</v>
      </c>
      <c r="S305">
        <v>628</v>
      </c>
      <c r="T305">
        <v>642</v>
      </c>
      <c r="U305">
        <v>633</v>
      </c>
      <c r="V305">
        <v>630</v>
      </c>
      <c r="W305">
        <v>1</v>
      </c>
      <c r="X305">
        <v>1</v>
      </c>
      <c r="Y305" t="s">
        <v>913</v>
      </c>
      <c r="Z305" t="s">
        <v>525</v>
      </c>
      <c r="AA305" t="s">
        <v>661</v>
      </c>
    </row>
    <row r="306" hidden="1" spans="1:27">
      <c r="A306" t="s">
        <v>413</v>
      </c>
      <c r="B306">
        <v>2</v>
      </c>
      <c r="C306">
        <v>33</v>
      </c>
      <c r="D306" t="s">
        <v>658</v>
      </c>
      <c r="E306">
        <v>7.694</v>
      </c>
      <c r="F306">
        <v>6.6</v>
      </c>
      <c r="G306">
        <v>0.011</v>
      </c>
      <c r="H306">
        <v>6.604</v>
      </c>
      <c r="I306">
        <v>0.166666666666667</v>
      </c>
      <c r="J306">
        <v>100.060606060606</v>
      </c>
      <c r="K306">
        <v>85.7811281518066</v>
      </c>
      <c r="L306">
        <v>0.142968546919678</v>
      </c>
      <c r="M306">
        <v>-0.0150000000000006</v>
      </c>
      <c r="N306">
        <v>0.227272727272736</v>
      </c>
      <c r="O306">
        <v>6.589</v>
      </c>
      <c r="P306" t="s">
        <v>659</v>
      </c>
      <c r="R306">
        <v>0</v>
      </c>
      <c r="S306">
        <v>576</v>
      </c>
      <c r="T306">
        <v>590</v>
      </c>
      <c r="U306">
        <v>581</v>
      </c>
      <c r="V306">
        <v>578</v>
      </c>
      <c r="W306">
        <v>1</v>
      </c>
      <c r="X306">
        <v>1</v>
      </c>
      <c r="Y306" t="s">
        <v>914</v>
      </c>
      <c r="Z306" t="s">
        <v>535</v>
      </c>
      <c r="AA306" t="s">
        <v>661</v>
      </c>
    </row>
    <row r="307" hidden="1" spans="1:27">
      <c r="A307" t="s">
        <v>413</v>
      </c>
      <c r="B307">
        <v>2</v>
      </c>
      <c r="C307">
        <v>24</v>
      </c>
      <c r="D307" t="s">
        <v>670</v>
      </c>
      <c r="E307">
        <v>6.097</v>
      </c>
      <c r="F307">
        <v>5.4</v>
      </c>
      <c r="G307">
        <v>0.009</v>
      </c>
      <c r="H307">
        <v>5.323</v>
      </c>
      <c r="I307">
        <v>0.166666666666667</v>
      </c>
      <c r="J307">
        <v>98.5740740740741</v>
      </c>
      <c r="K307">
        <v>88.5681482696408</v>
      </c>
      <c r="L307">
        <v>0.147613580449401</v>
      </c>
      <c r="M307">
        <v>0.0679999999999996</v>
      </c>
      <c r="N307">
        <v>1.25925925925925</v>
      </c>
      <c r="O307">
        <v>5.391</v>
      </c>
      <c r="P307" t="s">
        <v>659</v>
      </c>
      <c r="R307">
        <v>0</v>
      </c>
      <c r="S307">
        <v>427</v>
      </c>
      <c r="T307">
        <v>441</v>
      </c>
      <c r="U307">
        <v>432</v>
      </c>
      <c r="V307">
        <v>429</v>
      </c>
      <c r="W307">
        <v>1</v>
      </c>
      <c r="X307">
        <v>1</v>
      </c>
      <c r="Y307" t="s">
        <v>915</v>
      </c>
      <c r="Z307" t="s">
        <v>535</v>
      </c>
      <c r="AA307" t="s">
        <v>661</v>
      </c>
    </row>
    <row r="308" hidden="1" spans="1:27">
      <c r="A308" t="s">
        <v>41</v>
      </c>
      <c r="B308">
        <v>1</v>
      </c>
      <c r="C308">
        <v>14</v>
      </c>
      <c r="D308" t="s">
        <v>658</v>
      </c>
      <c r="E308">
        <v>23.29</v>
      </c>
      <c r="F308">
        <v>22.9</v>
      </c>
      <c r="G308">
        <v>0.037</v>
      </c>
      <c r="H308">
        <v>22.801</v>
      </c>
      <c r="I308">
        <v>0.161572052401747</v>
      </c>
      <c r="J308">
        <v>99.5676855895197</v>
      </c>
      <c r="K308">
        <v>98.3254615714899</v>
      </c>
      <c r="L308">
        <v>0.158866466294547</v>
      </c>
      <c r="M308">
        <v>0.0620000000000012</v>
      </c>
      <c r="N308">
        <v>0.270742358078608</v>
      </c>
      <c r="O308">
        <v>22.863</v>
      </c>
      <c r="P308" t="s">
        <v>659</v>
      </c>
      <c r="R308">
        <v>0</v>
      </c>
      <c r="S308">
        <v>248</v>
      </c>
      <c r="T308">
        <v>262</v>
      </c>
      <c r="U308">
        <v>253</v>
      </c>
      <c r="V308">
        <v>250</v>
      </c>
      <c r="W308">
        <v>1</v>
      </c>
      <c r="X308">
        <v>1</v>
      </c>
      <c r="Y308" t="s">
        <v>916</v>
      </c>
      <c r="Z308" t="s">
        <v>520</v>
      </c>
      <c r="AA308" t="s">
        <v>661</v>
      </c>
    </row>
    <row r="309" hidden="1" spans="1:27">
      <c r="A309" t="s">
        <v>168</v>
      </c>
      <c r="B309">
        <v>1</v>
      </c>
      <c r="C309">
        <v>33</v>
      </c>
      <c r="D309" t="s">
        <v>658</v>
      </c>
      <c r="E309">
        <v>35.096</v>
      </c>
      <c r="F309">
        <v>31.9</v>
      </c>
      <c r="G309">
        <v>0.051</v>
      </c>
      <c r="H309">
        <v>31.82</v>
      </c>
      <c r="I309">
        <v>0.15987460815047</v>
      </c>
      <c r="J309">
        <v>99.7492163009404</v>
      </c>
      <c r="K309">
        <v>90.8935491224071</v>
      </c>
      <c r="L309">
        <v>0.145315705493504</v>
      </c>
      <c r="M309">
        <v>0.0289999999999999</v>
      </c>
      <c r="N309">
        <v>0.0909090909090906</v>
      </c>
      <c r="O309">
        <v>31.849</v>
      </c>
      <c r="P309" t="s">
        <v>659</v>
      </c>
      <c r="R309">
        <v>0</v>
      </c>
      <c r="S309">
        <v>557</v>
      </c>
      <c r="T309">
        <v>571</v>
      </c>
      <c r="U309">
        <v>562</v>
      </c>
      <c r="V309">
        <v>559</v>
      </c>
      <c r="W309">
        <v>1</v>
      </c>
      <c r="X309">
        <v>1</v>
      </c>
      <c r="Y309" t="s">
        <v>917</v>
      </c>
      <c r="Z309" t="s">
        <v>525</v>
      </c>
      <c r="AA309" t="s">
        <v>661</v>
      </c>
    </row>
    <row r="310" hidden="1" spans="1:27">
      <c r="A310" t="s">
        <v>26</v>
      </c>
      <c r="B310">
        <v>2</v>
      </c>
      <c r="C310">
        <v>10</v>
      </c>
      <c r="D310" t="s">
        <v>658</v>
      </c>
      <c r="E310">
        <v>22.656</v>
      </c>
      <c r="F310">
        <v>22.2</v>
      </c>
      <c r="G310">
        <v>0.035</v>
      </c>
      <c r="H310">
        <v>22.08</v>
      </c>
      <c r="I310">
        <v>0.157657657657658</v>
      </c>
      <c r="J310">
        <v>99.4594594594595</v>
      </c>
      <c r="K310">
        <v>97.9872881355932</v>
      </c>
      <c r="L310">
        <v>0.154484463276836</v>
      </c>
      <c r="M310">
        <v>0.0850000000000009</v>
      </c>
      <c r="N310">
        <v>0.382882882882887</v>
      </c>
      <c r="O310">
        <v>22.165</v>
      </c>
      <c r="P310" t="s">
        <v>659</v>
      </c>
      <c r="R310">
        <v>0</v>
      </c>
      <c r="S310">
        <v>186</v>
      </c>
      <c r="T310">
        <v>200</v>
      </c>
      <c r="U310">
        <v>191</v>
      </c>
      <c r="V310">
        <v>188</v>
      </c>
      <c r="W310">
        <v>1</v>
      </c>
      <c r="X310">
        <v>1</v>
      </c>
      <c r="Y310" t="s">
        <v>918</v>
      </c>
      <c r="Z310" t="s">
        <v>519</v>
      </c>
      <c r="AA310" t="s">
        <v>661</v>
      </c>
    </row>
    <row r="311" hidden="1" spans="1:27">
      <c r="A311" t="s">
        <v>259</v>
      </c>
      <c r="B311">
        <v>1</v>
      </c>
      <c r="C311">
        <v>19</v>
      </c>
      <c r="D311" t="s">
        <v>658</v>
      </c>
      <c r="E311">
        <v>5.988</v>
      </c>
      <c r="F311">
        <v>5.1</v>
      </c>
      <c r="G311">
        <v>0.008</v>
      </c>
      <c r="H311">
        <v>4.978</v>
      </c>
      <c r="I311">
        <v>0.156862745098039</v>
      </c>
      <c r="J311">
        <v>97.6078431372549</v>
      </c>
      <c r="K311">
        <v>85.1703406813627</v>
      </c>
      <c r="L311">
        <v>0.133600534402138</v>
      </c>
      <c r="M311">
        <v>0.114</v>
      </c>
      <c r="N311">
        <v>2.23529411764706</v>
      </c>
      <c r="O311">
        <v>5.092</v>
      </c>
      <c r="P311" t="s">
        <v>659</v>
      </c>
      <c r="R311">
        <v>0</v>
      </c>
      <c r="S311">
        <v>346</v>
      </c>
      <c r="T311">
        <v>360</v>
      </c>
      <c r="U311">
        <v>351</v>
      </c>
      <c r="V311">
        <v>348</v>
      </c>
      <c r="W311">
        <v>1</v>
      </c>
      <c r="X311">
        <v>1</v>
      </c>
      <c r="Y311" t="s">
        <v>882</v>
      </c>
      <c r="Z311" t="s">
        <v>528</v>
      </c>
      <c r="AA311" t="s">
        <v>661</v>
      </c>
    </row>
    <row r="312" hidden="1" spans="1:27">
      <c r="A312" t="s">
        <v>26</v>
      </c>
      <c r="B312">
        <v>2</v>
      </c>
      <c r="C312">
        <v>4</v>
      </c>
      <c r="D312" t="s">
        <v>670</v>
      </c>
      <c r="E312">
        <v>8.139</v>
      </c>
      <c r="F312">
        <v>7.1</v>
      </c>
      <c r="G312">
        <v>0.011</v>
      </c>
      <c r="H312">
        <v>7.082</v>
      </c>
      <c r="I312">
        <v>0.154929577464789</v>
      </c>
      <c r="J312">
        <v>99.7464788732394</v>
      </c>
      <c r="K312">
        <v>87.2343039685465</v>
      </c>
      <c r="L312">
        <v>0.135151738542819</v>
      </c>
      <c r="M312">
        <v>0.00699999999999967</v>
      </c>
      <c r="N312">
        <v>0.09859154929577</v>
      </c>
      <c r="O312">
        <v>7.089</v>
      </c>
      <c r="P312" t="s">
        <v>659</v>
      </c>
      <c r="R312">
        <v>0</v>
      </c>
      <c r="S312">
        <v>90</v>
      </c>
      <c r="T312">
        <v>104</v>
      </c>
      <c r="U312">
        <v>95</v>
      </c>
      <c r="V312">
        <v>92</v>
      </c>
      <c r="W312">
        <v>1</v>
      </c>
      <c r="X312">
        <v>1</v>
      </c>
      <c r="Y312" t="s">
        <v>919</v>
      </c>
      <c r="Z312" t="s">
        <v>519</v>
      </c>
      <c r="AA312" t="s">
        <v>661</v>
      </c>
    </row>
    <row r="313" hidden="1" spans="1:27">
      <c r="A313" t="s">
        <v>259</v>
      </c>
      <c r="B313">
        <v>1</v>
      </c>
      <c r="C313">
        <v>23</v>
      </c>
      <c r="D313" t="s">
        <v>658</v>
      </c>
      <c r="E313">
        <v>6.222</v>
      </c>
      <c r="F313">
        <v>5.2</v>
      </c>
      <c r="G313">
        <v>0.008</v>
      </c>
      <c r="H313">
        <v>5.188</v>
      </c>
      <c r="I313">
        <v>0.153846153846154</v>
      </c>
      <c r="J313">
        <v>99.7692307692308</v>
      </c>
      <c r="K313">
        <v>83.5744133719061</v>
      </c>
      <c r="L313">
        <v>0.128576020572163</v>
      </c>
      <c r="M313">
        <v>0.00400000000000045</v>
      </c>
      <c r="N313">
        <v>0.0769230769230855</v>
      </c>
      <c r="O313">
        <v>5.192</v>
      </c>
      <c r="P313" t="s">
        <v>659</v>
      </c>
      <c r="R313">
        <v>0</v>
      </c>
      <c r="S313">
        <v>410</v>
      </c>
      <c r="T313">
        <v>424</v>
      </c>
      <c r="U313">
        <v>415</v>
      </c>
      <c r="V313">
        <v>412</v>
      </c>
      <c r="W313">
        <v>1</v>
      </c>
      <c r="X313">
        <v>1</v>
      </c>
      <c r="Y313" t="s">
        <v>920</v>
      </c>
      <c r="Z313" t="s">
        <v>528</v>
      </c>
      <c r="AA313" t="s">
        <v>661</v>
      </c>
    </row>
    <row r="314" hidden="1" spans="1:27">
      <c r="A314" t="s">
        <v>358</v>
      </c>
      <c r="B314">
        <v>3</v>
      </c>
      <c r="C314">
        <v>44</v>
      </c>
      <c r="D314" t="s">
        <v>658</v>
      </c>
      <c r="E314">
        <v>13</v>
      </c>
      <c r="F314">
        <v>11.7</v>
      </c>
      <c r="G314">
        <v>0.018</v>
      </c>
      <c r="H314">
        <v>11.615</v>
      </c>
      <c r="I314">
        <v>0.153846153846154</v>
      </c>
      <c r="J314">
        <v>99.2735042735043</v>
      </c>
      <c r="K314">
        <v>90</v>
      </c>
      <c r="L314">
        <v>0.138461538461538</v>
      </c>
      <c r="M314">
        <v>0.0669999999999984</v>
      </c>
      <c r="N314">
        <v>0.572649572649559</v>
      </c>
      <c r="O314">
        <v>11.682</v>
      </c>
      <c r="P314" t="s">
        <v>659</v>
      </c>
      <c r="R314">
        <v>0</v>
      </c>
      <c r="S314">
        <v>789</v>
      </c>
      <c r="T314">
        <v>803</v>
      </c>
      <c r="U314">
        <v>794</v>
      </c>
      <c r="V314">
        <v>791</v>
      </c>
      <c r="W314">
        <v>1</v>
      </c>
      <c r="X314">
        <v>1</v>
      </c>
      <c r="Y314" t="s">
        <v>921</v>
      </c>
      <c r="Z314" t="s">
        <v>533</v>
      </c>
      <c r="AA314" t="s">
        <v>661</v>
      </c>
    </row>
    <row r="315" hidden="1" spans="1:27">
      <c r="A315" t="s">
        <v>413</v>
      </c>
      <c r="B315">
        <v>2</v>
      </c>
      <c r="C315">
        <v>37</v>
      </c>
      <c r="D315" t="s">
        <v>658</v>
      </c>
      <c r="E315">
        <v>4.435</v>
      </c>
      <c r="F315">
        <v>3.5</v>
      </c>
      <c r="G315">
        <v>0.005</v>
      </c>
      <c r="H315">
        <v>3.508</v>
      </c>
      <c r="I315">
        <v>0.142857142857143</v>
      </c>
      <c r="J315">
        <v>100.228571428571</v>
      </c>
      <c r="K315">
        <v>78.9177001127396</v>
      </c>
      <c r="L315">
        <v>0.112739571589628</v>
      </c>
      <c r="M315">
        <v>-0.0129999999999999</v>
      </c>
      <c r="N315">
        <v>0.371428571428569</v>
      </c>
      <c r="O315">
        <v>3.495</v>
      </c>
      <c r="P315" t="s">
        <v>659</v>
      </c>
      <c r="R315">
        <v>0</v>
      </c>
      <c r="S315">
        <v>644</v>
      </c>
      <c r="T315">
        <v>658</v>
      </c>
      <c r="U315">
        <v>649</v>
      </c>
      <c r="V315">
        <v>646</v>
      </c>
      <c r="W315">
        <v>1</v>
      </c>
      <c r="X315">
        <v>1</v>
      </c>
      <c r="Y315" t="s">
        <v>922</v>
      </c>
      <c r="Z315" t="s">
        <v>535</v>
      </c>
      <c r="AA315" t="s">
        <v>661</v>
      </c>
    </row>
    <row r="316" hidden="1" spans="1:27">
      <c r="A316" t="s">
        <v>358</v>
      </c>
      <c r="B316">
        <v>3</v>
      </c>
      <c r="C316">
        <v>38</v>
      </c>
      <c r="D316" t="s">
        <v>723</v>
      </c>
      <c r="E316">
        <v>11.328</v>
      </c>
      <c r="F316">
        <v>10.1</v>
      </c>
      <c r="G316">
        <v>0.014</v>
      </c>
      <c r="H316">
        <v>10.058</v>
      </c>
      <c r="I316">
        <v>0.138613861386139</v>
      </c>
      <c r="J316">
        <v>99.5841584158416</v>
      </c>
      <c r="K316">
        <v>89.159604519774</v>
      </c>
      <c r="L316">
        <v>0.123587570621469</v>
      </c>
      <c r="M316">
        <v>0.0280000000000005</v>
      </c>
      <c r="N316">
        <v>0.277227722772282</v>
      </c>
      <c r="O316">
        <v>10.086</v>
      </c>
      <c r="P316" t="s">
        <v>659</v>
      </c>
      <c r="R316">
        <v>0</v>
      </c>
      <c r="S316">
        <v>686</v>
      </c>
      <c r="T316">
        <v>700</v>
      </c>
      <c r="U316">
        <v>691</v>
      </c>
      <c r="V316">
        <v>688</v>
      </c>
      <c r="W316">
        <v>1</v>
      </c>
      <c r="X316">
        <v>1</v>
      </c>
      <c r="Y316" t="s">
        <v>888</v>
      </c>
      <c r="Z316" t="s">
        <v>533</v>
      </c>
      <c r="AA316" t="s">
        <v>661</v>
      </c>
    </row>
    <row r="317" hidden="1" spans="1:27">
      <c r="A317" t="s">
        <v>26</v>
      </c>
      <c r="B317">
        <v>2</v>
      </c>
      <c r="C317">
        <v>12</v>
      </c>
      <c r="D317" t="s">
        <v>658</v>
      </c>
      <c r="E317">
        <v>23.958</v>
      </c>
      <c r="F317">
        <v>19.9</v>
      </c>
      <c r="G317">
        <v>0.027</v>
      </c>
      <c r="H317">
        <v>19.842</v>
      </c>
      <c r="I317">
        <v>0.135678391959799</v>
      </c>
      <c r="J317">
        <v>99.7085427135678</v>
      </c>
      <c r="K317">
        <v>83.0620252107855</v>
      </c>
      <c r="L317">
        <v>0.112697220135237</v>
      </c>
      <c r="M317">
        <v>0.0309999999999988</v>
      </c>
      <c r="N317">
        <v>0.155778894472356</v>
      </c>
      <c r="O317">
        <v>19.873</v>
      </c>
      <c r="P317" t="s">
        <v>659</v>
      </c>
      <c r="R317">
        <v>0</v>
      </c>
      <c r="S317">
        <v>218</v>
      </c>
      <c r="T317">
        <v>232</v>
      </c>
      <c r="U317">
        <v>223</v>
      </c>
      <c r="V317">
        <v>220</v>
      </c>
      <c r="W317">
        <v>1</v>
      </c>
      <c r="X317">
        <v>1</v>
      </c>
      <c r="Y317" t="s">
        <v>923</v>
      </c>
      <c r="Z317" t="s">
        <v>519</v>
      </c>
      <c r="AA317" t="s">
        <v>661</v>
      </c>
    </row>
    <row r="318" hidden="1" spans="1:27">
      <c r="A318" t="s">
        <v>26</v>
      </c>
      <c r="B318">
        <v>2</v>
      </c>
      <c r="C318">
        <v>6</v>
      </c>
      <c r="D318" t="s">
        <v>658</v>
      </c>
      <c r="E318">
        <v>9.34</v>
      </c>
      <c r="F318">
        <v>9</v>
      </c>
      <c r="G318">
        <v>0.012</v>
      </c>
      <c r="H318">
        <v>8.929</v>
      </c>
      <c r="I318">
        <v>0.133333333333333</v>
      </c>
      <c r="J318">
        <v>99.2111111111111</v>
      </c>
      <c r="K318">
        <v>96.3597430406852</v>
      </c>
      <c r="L318">
        <v>0.12847965738758</v>
      </c>
      <c r="M318">
        <v>0.0589999999999993</v>
      </c>
      <c r="N318">
        <v>0.655555555555548</v>
      </c>
      <c r="O318">
        <v>8.988</v>
      </c>
      <c r="P318" t="s">
        <v>659</v>
      </c>
      <c r="R318">
        <v>0</v>
      </c>
      <c r="S318">
        <v>122</v>
      </c>
      <c r="T318">
        <v>136</v>
      </c>
      <c r="U318">
        <v>127</v>
      </c>
      <c r="V318">
        <v>124</v>
      </c>
      <c r="W318">
        <v>1</v>
      </c>
      <c r="X318">
        <v>1</v>
      </c>
      <c r="Y318" t="s">
        <v>924</v>
      </c>
      <c r="Z318" t="s">
        <v>519</v>
      </c>
      <c r="AA318" t="s">
        <v>661</v>
      </c>
    </row>
    <row r="319" hidden="1" spans="1:27">
      <c r="A319" t="s">
        <v>26</v>
      </c>
      <c r="B319">
        <v>2</v>
      </c>
      <c r="C319">
        <v>7</v>
      </c>
      <c r="D319" t="s">
        <v>658</v>
      </c>
      <c r="E319">
        <v>10.161</v>
      </c>
      <c r="F319">
        <v>9.8</v>
      </c>
      <c r="G319">
        <v>0.013</v>
      </c>
      <c r="H319">
        <v>9.692</v>
      </c>
      <c r="I319">
        <v>0.13265306122449</v>
      </c>
      <c r="J319">
        <v>98.8979591836735</v>
      </c>
      <c r="K319">
        <v>96.4472000787324</v>
      </c>
      <c r="L319">
        <v>0.127940163369747</v>
      </c>
      <c r="M319">
        <v>0.0950000000000006</v>
      </c>
      <c r="N319">
        <v>0.969387755102047</v>
      </c>
      <c r="O319">
        <v>9.787</v>
      </c>
      <c r="P319" t="s">
        <v>659</v>
      </c>
      <c r="R319">
        <v>0</v>
      </c>
      <c r="S319">
        <v>138</v>
      </c>
      <c r="T319">
        <v>152</v>
      </c>
      <c r="U319">
        <v>143</v>
      </c>
      <c r="V319">
        <v>140</v>
      </c>
      <c r="W319">
        <v>1</v>
      </c>
      <c r="X319">
        <v>1</v>
      </c>
      <c r="Y319" t="s">
        <v>925</v>
      </c>
      <c r="Z319" t="s">
        <v>519</v>
      </c>
      <c r="AA319" t="s">
        <v>661</v>
      </c>
    </row>
    <row r="320" hidden="1" spans="1:27">
      <c r="A320" t="s">
        <v>259</v>
      </c>
      <c r="B320">
        <v>1</v>
      </c>
      <c r="C320">
        <v>24</v>
      </c>
      <c r="D320" t="s">
        <v>658</v>
      </c>
      <c r="E320">
        <v>6.146</v>
      </c>
      <c r="F320">
        <v>5.3</v>
      </c>
      <c r="G320">
        <v>0.007</v>
      </c>
      <c r="H320">
        <v>5.208</v>
      </c>
      <c r="I320">
        <v>0.132075471698113</v>
      </c>
      <c r="J320">
        <v>98.2641509433962</v>
      </c>
      <c r="K320">
        <v>86.2349495606899</v>
      </c>
      <c r="L320">
        <v>0.113895216400911</v>
      </c>
      <c r="M320">
        <v>0.085</v>
      </c>
      <c r="N320">
        <v>1.60377358490566</v>
      </c>
      <c r="O320">
        <v>5.293</v>
      </c>
      <c r="P320" t="s">
        <v>659</v>
      </c>
      <c r="R320">
        <v>0</v>
      </c>
      <c r="S320">
        <v>426</v>
      </c>
      <c r="T320">
        <v>440</v>
      </c>
      <c r="U320">
        <v>431</v>
      </c>
      <c r="V320">
        <v>428</v>
      </c>
      <c r="W320">
        <v>1</v>
      </c>
      <c r="X320">
        <v>1</v>
      </c>
      <c r="Y320" t="s">
        <v>920</v>
      </c>
      <c r="Z320" t="s">
        <v>528</v>
      </c>
      <c r="AA320" t="s">
        <v>661</v>
      </c>
    </row>
    <row r="321" hidden="1" spans="1:27">
      <c r="A321" t="s">
        <v>168</v>
      </c>
      <c r="B321">
        <v>1</v>
      </c>
      <c r="C321">
        <v>36</v>
      </c>
      <c r="D321" t="s">
        <v>658</v>
      </c>
      <c r="E321">
        <v>70.827</v>
      </c>
      <c r="F321">
        <v>69.9</v>
      </c>
      <c r="G321">
        <v>0.086</v>
      </c>
      <c r="H321">
        <v>69.78</v>
      </c>
      <c r="I321">
        <v>0.123032904148784</v>
      </c>
      <c r="J321">
        <v>99.8283261802575</v>
      </c>
      <c r="K321">
        <v>98.6911770934813</v>
      </c>
      <c r="L321">
        <v>0.121422621316729</v>
      </c>
      <c r="M321">
        <v>0.034000000000006</v>
      </c>
      <c r="N321">
        <v>0.0486409155937139</v>
      </c>
      <c r="O321">
        <v>69.814</v>
      </c>
      <c r="P321" t="s">
        <v>659</v>
      </c>
      <c r="R321">
        <v>0</v>
      </c>
      <c r="S321">
        <v>610</v>
      </c>
      <c r="T321">
        <v>624</v>
      </c>
      <c r="U321">
        <v>615</v>
      </c>
      <c r="V321">
        <v>612</v>
      </c>
      <c r="W321">
        <v>1</v>
      </c>
      <c r="X321">
        <v>1</v>
      </c>
      <c r="Y321" t="s">
        <v>926</v>
      </c>
      <c r="Z321" t="s">
        <v>525</v>
      </c>
      <c r="AA321" t="s">
        <v>661</v>
      </c>
    </row>
    <row r="322" hidden="1" spans="1:27">
      <c r="A322" t="s">
        <v>358</v>
      </c>
      <c r="B322">
        <v>3</v>
      </c>
      <c r="C322">
        <v>42</v>
      </c>
      <c r="D322" t="s">
        <v>658</v>
      </c>
      <c r="E322">
        <v>13.208</v>
      </c>
      <c r="F322">
        <v>11.4</v>
      </c>
      <c r="G322">
        <v>0.014</v>
      </c>
      <c r="H322">
        <v>11.38</v>
      </c>
      <c r="I322">
        <v>0.12280701754386</v>
      </c>
      <c r="J322">
        <v>99.8245614035088</v>
      </c>
      <c r="K322">
        <v>86.3113264688068</v>
      </c>
      <c r="L322">
        <v>0.105996365838886</v>
      </c>
      <c r="M322">
        <v>0.00600000000000023</v>
      </c>
      <c r="N322">
        <v>0.0526315789473704</v>
      </c>
      <c r="O322">
        <v>11.386</v>
      </c>
      <c r="P322" t="s">
        <v>659</v>
      </c>
      <c r="R322">
        <v>0</v>
      </c>
      <c r="S322">
        <v>754</v>
      </c>
      <c r="T322">
        <v>768</v>
      </c>
      <c r="U322">
        <v>759</v>
      </c>
      <c r="V322">
        <v>756</v>
      </c>
      <c r="W322">
        <v>1</v>
      </c>
      <c r="X322">
        <v>1</v>
      </c>
      <c r="Y322" t="s">
        <v>921</v>
      </c>
      <c r="Z322" t="s">
        <v>533</v>
      </c>
      <c r="AA322" t="s">
        <v>661</v>
      </c>
    </row>
    <row r="323" hidden="1" spans="1:27">
      <c r="A323" t="s">
        <v>259</v>
      </c>
      <c r="B323">
        <v>1</v>
      </c>
      <c r="C323">
        <v>26</v>
      </c>
      <c r="D323" t="s">
        <v>658</v>
      </c>
      <c r="E323">
        <v>10.017</v>
      </c>
      <c r="F323">
        <v>9.2</v>
      </c>
      <c r="G323">
        <v>0.011</v>
      </c>
      <c r="H323">
        <v>9.11</v>
      </c>
      <c r="I323">
        <v>0.119565217391304</v>
      </c>
      <c r="J323">
        <v>99.0217391304348</v>
      </c>
      <c r="K323">
        <v>91.8438654287711</v>
      </c>
      <c r="L323">
        <v>0.109813317360487</v>
      </c>
      <c r="M323">
        <v>0.0790000000000006</v>
      </c>
      <c r="N323">
        <v>0.85869565217392</v>
      </c>
      <c r="O323">
        <v>9.189</v>
      </c>
      <c r="P323" t="s">
        <v>659</v>
      </c>
      <c r="R323">
        <v>0</v>
      </c>
      <c r="S323">
        <v>459</v>
      </c>
      <c r="T323">
        <v>473</v>
      </c>
      <c r="U323">
        <v>464</v>
      </c>
      <c r="V323">
        <v>461</v>
      </c>
      <c r="W323">
        <v>1</v>
      </c>
      <c r="X323">
        <v>1</v>
      </c>
      <c r="Y323" t="s">
        <v>927</v>
      </c>
      <c r="Z323" t="s">
        <v>528</v>
      </c>
      <c r="AA323" t="s">
        <v>661</v>
      </c>
    </row>
    <row r="324" hidden="1" spans="1:27">
      <c r="A324" t="s">
        <v>259</v>
      </c>
      <c r="B324">
        <v>1</v>
      </c>
      <c r="C324">
        <v>16</v>
      </c>
      <c r="D324" t="s">
        <v>658</v>
      </c>
      <c r="E324">
        <v>6.821</v>
      </c>
      <c r="F324">
        <v>5.9</v>
      </c>
      <c r="G324">
        <v>0.007</v>
      </c>
      <c r="H324">
        <v>5.849</v>
      </c>
      <c r="I324">
        <v>0.11864406779661</v>
      </c>
      <c r="J324">
        <v>99.135593220339</v>
      </c>
      <c r="K324">
        <v>86.4975809998534</v>
      </c>
      <c r="L324">
        <v>0.102624248643894</v>
      </c>
      <c r="M324">
        <v>0.0440000000000005</v>
      </c>
      <c r="N324">
        <v>0.745762711864415</v>
      </c>
      <c r="O324">
        <v>5.893</v>
      </c>
      <c r="P324" t="s">
        <v>659</v>
      </c>
      <c r="R324">
        <v>0</v>
      </c>
      <c r="S324">
        <v>298</v>
      </c>
      <c r="T324">
        <v>312</v>
      </c>
      <c r="U324">
        <v>303</v>
      </c>
      <c r="V324">
        <v>300</v>
      </c>
      <c r="W324">
        <v>1</v>
      </c>
      <c r="X324">
        <v>1</v>
      </c>
      <c r="Y324" t="s">
        <v>928</v>
      </c>
      <c r="Z324" t="s">
        <v>528</v>
      </c>
      <c r="AA324" t="s">
        <v>661</v>
      </c>
    </row>
    <row r="325" hidden="1" spans="1:27">
      <c r="A325" t="s">
        <v>259</v>
      </c>
      <c r="B325">
        <v>1</v>
      </c>
      <c r="C325">
        <v>15</v>
      </c>
      <c r="D325" t="s">
        <v>658</v>
      </c>
      <c r="E325">
        <v>7.54</v>
      </c>
      <c r="F325">
        <v>6.8</v>
      </c>
      <c r="G325">
        <v>0.008</v>
      </c>
      <c r="H325">
        <v>6.744</v>
      </c>
      <c r="I325">
        <v>0.117647058823529</v>
      </c>
      <c r="J325">
        <v>99.1764705882353</v>
      </c>
      <c r="K325">
        <v>90.1856763925729</v>
      </c>
      <c r="L325">
        <v>0.106100795755968</v>
      </c>
      <c r="M325">
        <v>0.048</v>
      </c>
      <c r="N325">
        <v>0.705882352941177</v>
      </c>
      <c r="O325">
        <v>6.792</v>
      </c>
      <c r="P325" t="s">
        <v>659</v>
      </c>
      <c r="R325">
        <v>0</v>
      </c>
      <c r="S325">
        <v>278</v>
      </c>
      <c r="T325">
        <v>292</v>
      </c>
      <c r="U325">
        <v>283</v>
      </c>
      <c r="V325">
        <v>280</v>
      </c>
      <c r="W325">
        <v>1</v>
      </c>
      <c r="X325">
        <v>1</v>
      </c>
      <c r="Y325" t="s">
        <v>929</v>
      </c>
      <c r="Z325" t="s">
        <v>528</v>
      </c>
      <c r="AA325" t="s">
        <v>661</v>
      </c>
    </row>
    <row r="326" hidden="1" spans="1:27">
      <c r="A326" t="s">
        <v>26</v>
      </c>
      <c r="B326">
        <v>2</v>
      </c>
      <c r="C326">
        <v>5</v>
      </c>
      <c r="D326" t="s">
        <v>658</v>
      </c>
      <c r="E326">
        <v>9.956</v>
      </c>
      <c r="F326">
        <v>9.5</v>
      </c>
      <c r="G326">
        <v>0.011</v>
      </c>
      <c r="H326">
        <v>9.484</v>
      </c>
      <c r="I326">
        <v>0.115789473684211</v>
      </c>
      <c r="J326">
        <v>99.8315789473684</v>
      </c>
      <c r="K326">
        <v>95.4198473282443</v>
      </c>
      <c r="L326">
        <v>0.110486139011651</v>
      </c>
      <c r="M326">
        <v>0.00500000000000078</v>
      </c>
      <c r="N326">
        <v>0.0526315789473766</v>
      </c>
      <c r="O326">
        <v>9.489</v>
      </c>
      <c r="P326" t="s">
        <v>659</v>
      </c>
      <c r="R326">
        <v>0</v>
      </c>
      <c r="S326">
        <v>106</v>
      </c>
      <c r="T326">
        <v>120</v>
      </c>
      <c r="U326">
        <v>111</v>
      </c>
      <c r="V326">
        <v>108</v>
      </c>
      <c r="W326">
        <v>1</v>
      </c>
      <c r="X326">
        <v>1</v>
      </c>
      <c r="Y326" t="s">
        <v>930</v>
      </c>
      <c r="Z326" t="s">
        <v>519</v>
      </c>
      <c r="AA326" t="s">
        <v>661</v>
      </c>
    </row>
    <row r="327" hidden="1" spans="1:27">
      <c r="A327" t="s">
        <v>259</v>
      </c>
      <c r="B327">
        <v>1</v>
      </c>
      <c r="C327">
        <v>25</v>
      </c>
      <c r="D327" t="s">
        <v>658</v>
      </c>
      <c r="E327">
        <v>33.445</v>
      </c>
      <c r="F327">
        <v>9.1</v>
      </c>
      <c r="G327">
        <v>0.01</v>
      </c>
      <c r="H327">
        <v>9.005</v>
      </c>
      <c r="I327">
        <v>0.10989010989011</v>
      </c>
      <c r="J327">
        <v>98.956043956044</v>
      </c>
      <c r="K327">
        <v>27.2088503513231</v>
      </c>
      <c r="L327">
        <v>0.0298998355509045</v>
      </c>
      <c r="M327">
        <v>0.0849999999999991</v>
      </c>
      <c r="N327">
        <v>0.934065934065924</v>
      </c>
      <c r="O327">
        <v>9.09</v>
      </c>
      <c r="P327" t="s">
        <v>659</v>
      </c>
      <c r="R327">
        <v>0</v>
      </c>
      <c r="S327">
        <v>442</v>
      </c>
      <c r="T327">
        <v>456</v>
      </c>
      <c r="U327">
        <v>447</v>
      </c>
      <c r="V327">
        <v>444</v>
      </c>
      <c r="W327">
        <v>1</v>
      </c>
      <c r="X327">
        <v>1</v>
      </c>
      <c r="Y327" t="s">
        <v>931</v>
      </c>
      <c r="Z327" t="s">
        <v>528</v>
      </c>
      <c r="AA327" t="s">
        <v>661</v>
      </c>
    </row>
    <row r="328" hidden="1" spans="1:27">
      <c r="A328" t="s">
        <v>334</v>
      </c>
      <c r="B328">
        <v>3</v>
      </c>
      <c r="C328">
        <v>16</v>
      </c>
      <c r="D328" t="s">
        <v>658</v>
      </c>
      <c r="E328">
        <v>40.145</v>
      </c>
      <c r="F328">
        <v>39.4</v>
      </c>
      <c r="G328">
        <v>0.043</v>
      </c>
      <c r="H328">
        <v>39.327</v>
      </c>
      <c r="I328">
        <v>0.109137055837563</v>
      </c>
      <c r="J328">
        <v>99.8147208121827</v>
      </c>
      <c r="K328">
        <v>98.1442271764852</v>
      </c>
      <c r="L328">
        <v>0.107111720014946</v>
      </c>
      <c r="M328">
        <v>0.0300000000000011</v>
      </c>
      <c r="N328">
        <v>0.0761421319796983</v>
      </c>
      <c r="O328">
        <v>39.357</v>
      </c>
      <c r="P328" t="s">
        <v>659</v>
      </c>
      <c r="R328">
        <v>0</v>
      </c>
      <c r="S328">
        <v>289</v>
      </c>
      <c r="T328">
        <v>303</v>
      </c>
      <c r="U328">
        <v>294</v>
      </c>
      <c r="V328">
        <v>291</v>
      </c>
      <c r="W328">
        <v>1</v>
      </c>
      <c r="X328">
        <v>1</v>
      </c>
      <c r="Y328" t="s">
        <v>932</v>
      </c>
      <c r="Z328" t="s">
        <v>532</v>
      </c>
      <c r="AA328" t="s">
        <v>661</v>
      </c>
    </row>
    <row r="329" hidden="1" spans="1:27">
      <c r="A329" t="s">
        <v>259</v>
      </c>
      <c r="B329">
        <v>1</v>
      </c>
      <c r="C329">
        <v>21</v>
      </c>
      <c r="D329" t="s">
        <v>658</v>
      </c>
      <c r="E329">
        <v>6.5</v>
      </c>
      <c r="F329">
        <v>5.5</v>
      </c>
      <c r="G329">
        <v>0.006</v>
      </c>
      <c r="H329">
        <v>5.438</v>
      </c>
      <c r="I329">
        <v>0.109090909090909</v>
      </c>
      <c r="J329">
        <v>98.8727272727273</v>
      </c>
      <c r="K329">
        <v>84.6153846153846</v>
      </c>
      <c r="L329">
        <v>0.0923076923076923</v>
      </c>
      <c r="M329">
        <v>0.056</v>
      </c>
      <c r="N329">
        <v>1.01818181818182</v>
      </c>
      <c r="O329">
        <v>5.494</v>
      </c>
      <c r="P329" t="s">
        <v>659</v>
      </c>
      <c r="R329">
        <v>0</v>
      </c>
      <c r="S329">
        <v>378</v>
      </c>
      <c r="T329">
        <v>392</v>
      </c>
      <c r="U329">
        <v>383</v>
      </c>
      <c r="V329">
        <v>380</v>
      </c>
      <c r="W329">
        <v>1</v>
      </c>
      <c r="X329">
        <v>1</v>
      </c>
      <c r="Y329" t="s">
        <v>882</v>
      </c>
      <c r="Z329" t="s">
        <v>528</v>
      </c>
      <c r="AA329" t="s">
        <v>661</v>
      </c>
    </row>
    <row r="330" hidden="1" spans="1:27">
      <c r="A330" t="s">
        <v>99</v>
      </c>
      <c r="B330">
        <v>1</v>
      </c>
      <c r="C330">
        <v>17</v>
      </c>
      <c r="D330" t="s">
        <v>658</v>
      </c>
      <c r="E330">
        <v>25.863</v>
      </c>
      <c r="F330">
        <v>25.1</v>
      </c>
      <c r="G330">
        <v>0.026</v>
      </c>
      <c r="H330">
        <v>25.047</v>
      </c>
      <c r="I330">
        <v>0.103585657370518</v>
      </c>
      <c r="J330">
        <v>99.7888446215139</v>
      </c>
      <c r="K330">
        <v>97.0498395391099</v>
      </c>
      <c r="L330">
        <v>0.10052971426362</v>
      </c>
      <c r="M330">
        <v>0.027000000000001</v>
      </c>
      <c r="N330">
        <v>0.107569721115542</v>
      </c>
      <c r="O330">
        <v>25.074</v>
      </c>
      <c r="P330" t="s">
        <v>659</v>
      </c>
      <c r="R330">
        <v>0</v>
      </c>
      <c r="S330">
        <v>305</v>
      </c>
      <c r="T330">
        <v>319</v>
      </c>
      <c r="U330">
        <v>310</v>
      </c>
      <c r="V330">
        <v>307</v>
      </c>
      <c r="W330">
        <v>1</v>
      </c>
      <c r="X330">
        <v>1</v>
      </c>
      <c r="Y330" t="s">
        <v>933</v>
      </c>
      <c r="Z330" t="s">
        <v>522</v>
      </c>
      <c r="AA330" t="s">
        <v>661</v>
      </c>
    </row>
    <row r="331" hidden="1" spans="1:27">
      <c r="A331" t="s">
        <v>41</v>
      </c>
      <c r="B331">
        <v>1</v>
      </c>
      <c r="C331">
        <v>17</v>
      </c>
      <c r="D331" t="s">
        <v>658</v>
      </c>
      <c r="E331">
        <v>38.269</v>
      </c>
      <c r="F331">
        <v>37.7</v>
      </c>
      <c r="G331">
        <v>0.039</v>
      </c>
      <c r="H331">
        <v>37.576</v>
      </c>
      <c r="I331">
        <v>0.103448275862069</v>
      </c>
      <c r="J331">
        <v>99.6710875331565</v>
      </c>
      <c r="K331">
        <v>98.5131568632575</v>
      </c>
      <c r="L331">
        <v>0.101910162272335</v>
      </c>
      <c r="M331">
        <v>0.0850000000000009</v>
      </c>
      <c r="N331">
        <v>0.225464190981435</v>
      </c>
      <c r="O331">
        <v>37.661</v>
      </c>
      <c r="P331" t="s">
        <v>659</v>
      </c>
      <c r="R331">
        <v>0</v>
      </c>
      <c r="S331">
        <v>296</v>
      </c>
      <c r="T331">
        <v>310</v>
      </c>
      <c r="U331">
        <v>301</v>
      </c>
      <c r="V331">
        <v>298</v>
      </c>
      <c r="W331">
        <v>1</v>
      </c>
      <c r="X331">
        <v>1</v>
      </c>
      <c r="Y331" t="s">
        <v>934</v>
      </c>
      <c r="Z331" t="s">
        <v>520</v>
      </c>
      <c r="AA331" t="s">
        <v>661</v>
      </c>
    </row>
    <row r="332" hidden="1" spans="1:27">
      <c r="A332" t="s">
        <v>99</v>
      </c>
      <c r="B332">
        <v>1</v>
      </c>
      <c r="C332">
        <v>27</v>
      </c>
      <c r="D332" t="s">
        <v>658</v>
      </c>
      <c r="E332">
        <v>44.208</v>
      </c>
      <c r="F332">
        <v>42.3</v>
      </c>
      <c r="G332">
        <v>0.042</v>
      </c>
      <c r="H332">
        <v>42.142</v>
      </c>
      <c r="I332">
        <v>0.099290780141844</v>
      </c>
      <c r="J332">
        <v>99.6264775413712</v>
      </c>
      <c r="K332">
        <v>95.6840390879479</v>
      </c>
      <c r="L332">
        <v>0.0950054288816504</v>
      </c>
      <c r="M332">
        <v>0.115999999999993</v>
      </c>
      <c r="N332">
        <v>0.27423167848698</v>
      </c>
      <c r="O332">
        <v>42.258</v>
      </c>
      <c r="P332" t="s">
        <v>659</v>
      </c>
      <c r="R332">
        <v>0</v>
      </c>
      <c r="S332">
        <v>470</v>
      </c>
      <c r="T332">
        <v>484</v>
      </c>
      <c r="U332">
        <v>475</v>
      </c>
      <c r="V332">
        <v>472</v>
      </c>
      <c r="W332">
        <v>1</v>
      </c>
      <c r="X332">
        <v>1</v>
      </c>
      <c r="Y332" t="s">
        <v>935</v>
      </c>
      <c r="Z332" t="s">
        <v>522</v>
      </c>
      <c r="AA332" t="s">
        <v>661</v>
      </c>
    </row>
    <row r="333" hidden="1" spans="1:27">
      <c r="A333" t="s">
        <v>358</v>
      </c>
      <c r="B333">
        <v>3</v>
      </c>
      <c r="C333">
        <v>40</v>
      </c>
      <c r="D333" t="s">
        <v>658</v>
      </c>
      <c r="E333">
        <v>12.517</v>
      </c>
      <c r="F333">
        <v>11.2</v>
      </c>
      <c r="G333">
        <v>0.011</v>
      </c>
      <c r="H333">
        <v>11.117</v>
      </c>
      <c r="I333">
        <v>0.0982142857142857</v>
      </c>
      <c r="J333">
        <v>99.2589285714286</v>
      </c>
      <c r="K333">
        <v>89.4783094990812</v>
      </c>
      <c r="L333">
        <v>0.0878804825437405</v>
      </c>
      <c r="M333">
        <v>0.0719999999999992</v>
      </c>
      <c r="N333">
        <v>0.642857142857136</v>
      </c>
      <c r="O333">
        <v>11.189</v>
      </c>
      <c r="P333" t="s">
        <v>659</v>
      </c>
      <c r="R333">
        <v>0</v>
      </c>
      <c r="S333">
        <v>720</v>
      </c>
      <c r="T333">
        <v>734</v>
      </c>
      <c r="U333">
        <v>725</v>
      </c>
      <c r="V333">
        <v>722</v>
      </c>
      <c r="W333">
        <v>1</v>
      </c>
      <c r="X333">
        <v>1</v>
      </c>
      <c r="Y333" t="s">
        <v>888</v>
      </c>
      <c r="Z333" t="s">
        <v>533</v>
      </c>
      <c r="AA333" t="s">
        <v>661</v>
      </c>
    </row>
    <row r="334" hidden="1" spans="1:27">
      <c r="A334" t="s">
        <v>168</v>
      </c>
      <c r="B334">
        <v>1</v>
      </c>
      <c r="C334">
        <v>32</v>
      </c>
      <c r="D334" t="s">
        <v>658</v>
      </c>
      <c r="E334">
        <v>26.265</v>
      </c>
      <c r="F334">
        <v>25.7</v>
      </c>
      <c r="G334">
        <v>0.025</v>
      </c>
      <c r="H334">
        <v>25.589</v>
      </c>
      <c r="I334">
        <v>0.0972762645914397</v>
      </c>
      <c r="J334">
        <v>99.568093385214</v>
      </c>
      <c r="K334">
        <v>97.8488482771749</v>
      </c>
      <c r="L334">
        <v>0.0951837045497811</v>
      </c>
      <c r="M334">
        <v>0.0860000000000021</v>
      </c>
      <c r="N334">
        <v>0.334630350194561</v>
      </c>
      <c r="O334">
        <v>25.675</v>
      </c>
      <c r="P334" t="s">
        <v>659</v>
      </c>
      <c r="R334">
        <v>0</v>
      </c>
      <c r="S334">
        <v>540</v>
      </c>
      <c r="T334">
        <v>554</v>
      </c>
      <c r="U334">
        <v>545</v>
      </c>
      <c r="V334">
        <v>542</v>
      </c>
      <c r="W334">
        <v>1</v>
      </c>
      <c r="X334">
        <v>1</v>
      </c>
      <c r="Y334" t="s">
        <v>936</v>
      </c>
      <c r="Z334" t="s">
        <v>525</v>
      </c>
      <c r="AA334" t="s">
        <v>661</v>
      </c>
    </row>
    <row r="335" hidden="1" spans="1:27">
      <c r="A335" t="s">
        <v>334</v>
      </c>
      <c r="B335">
        <v>3</v>
      </c>
      <c r="C335">
        <v>20</v>
      </c>
      <c r="D335" t="s">
        <v>658</v>
      </c>
      <c r="E335">
        <v>58.282</v>
      </c>
      <c r="F335">
        <v>57.3</v>
      </c>
      <c r="G335">
        <v>0.053</v>
      </c>
      <c r="H335">
        <v>57.196</v>
      </c>
      <c r="I335">
        <v>0.0924956369982548</v>
      </c>
      <c r="J335">
        <v>99.8184991273996</v>
      </c>
      <c r="K335">
        <v>98.3150887066333</v>
      </c>
      <c r="L335">
        <v>0.0909371675645997</v>
      </c>
      <c r="M335">
        <v>0.0510000000000019</v>
      </c>
      <c r="N335">
        <v>0.0890052356020976</v>
      </c>
      <c r="O335">
        <v>57.247</v>
      </c>
      <c r="P335" t="s">
        <v>659</v>
      </c>
      <c r="R335">
        <v>0</v>
      </c>
      <c r="S335">
        <v>356</v>
      </c>
      <c r="T335">
        <v>370</v>
      </c>
      <c r="U335">
        <v>361</v>
      </c>
      <c r="V335">
        <v>358</v>
      </c>
      <c r="W335">
        <v>1</v>
      </c>
      <c r="X335">
        <v>1</v>
      </c>
      <c r="Y335" t="s">
        <v>937</v>
      </c>
      <c r="Z335" t="s">
        <v>532</v>
      </c>
      <c r="AA335" t="s">
        <v>661</v>
      </c>
    </row>
    <row r="336" hidden="1" spans="1:27">
      <c r="A336" t="s">
        <v>358</v>
      </c>
      <c r="B336">
        <v>3</v>
      </c>
      <c r="C336">
        <v>43</v>
      </c>
      <c r="D336" t="s">
        <v>658</v>
      </c>
      <c r="E336">
        <v>13.217</v>
      </c>
      <c r="F336">
        <v>11.3</v>
      </c>
      <c r="G336">
        <v>0.009</v>
      </c>
      <c r="H336">
        <v>11.183</v>
      </c>
      <c r="I336">
        <v>0.079646017699115</v>
      </c>
      <c r="J336">
        <v>98.9646017699115</v>
      </c>
      <c r="K336">
        <v>85.4959521827949</v>
      </c>
      <c r="L336">
        <v>0.0680941212075357</v>
      </c>
      <c r="M336">
        <v>0.108000000000001</v>
      </c>
      <c r="N336">
        <v>0.955752212389385</v>
      </c>
      <c r="O336">
        <v>11.291</v>
      </c>
      <c r="P336" t="s">
        <v>659</v>
      </c>
      <c r="R336">
        <v>0</v>
      </c>
      <c r="S336">
        <v>772</v>
      </c>
      <c r="T336">
        <v>786</v>
      </c>
      <c r="U336">
        <v>777</v>
      </c>
      <c r="V336">
        <v>774</v>
      </c>
      <c r="W336">
        <v>1</v>
      </c>
      <c r="X336">
        <v>1</v>
      </c>
      <c r="Y336" t="s">
        <v>921</v>
      </c>
      <c r="Z336" t="s">
        <v>533</v>
      </c>
      <c r="AA336" t="s">
        <v>661</v>
      </c>
    </row>
    <row r="337" hidden="1" spans="1:27">
      <c r="A337" t="s">
        <v>334</v>
      </c>
      <c r="B337">
        <v>3</v>
      </c>
      <c r="C337">
        <v>19</v>
      </c>
      <c r="D337" t="s">
        <v>658</v>
      </c>
      <c r="E337">
        <v>41.751</v>
      </c>
      <c r="F337">
        <v>38.7</v>
      </c>
      <c r="G337">
        <v>0.029</v>
      </c>
      <c r="H337">
        <v>38.634</v>
      </c>
      <c r="I337">
        <v>0.0749354005167959</v>
      </c>
      <c r="J337">
        <v>99.8294573643411</v>
      </c>
      <c r="K337">
        <v>92.6923906014227</v>
      </c>
      <c r="L337">
        <v>0.069459414145769</v>
      </c>
      <c r="M337">
        <v>0.036999999999999</v>
      </c>
      <c r="N337">
        <v>0.0956072351421164</v>
      </c>
      <c r="O337">
        <v>38.671</v>
      </c>
      <c r="P337" t="s">
        <v>659</v>
      </c>
      <c r="R337">
        <v>0</v>
      </c>
      <c r="S337">
        <v>339</v>
      </c>
      <c r="T337">
        <v>353</v>
      </c>
      <c r="U337">
        <v>344</v>
      </c>
      <c r="V337">
        <v>341</v>
      </c>
      <c r="W337">
        <v>1</v>
      </c>
      <c r="X337">
        <v>1</v>
      </c>
      <c r="Y337" t="s">
        <v>938</v>
      </c>
      <c r="Z337" t="s">
        <v>532</v>
      </c>
      <c r="AA337" t="s">
        <v>661</v>
      </c>
    </row>
    <row r="338" hidden="1" spans="1:27">
      <c r="A338" t="s">
        <v>280</v>
      </c>
      <c r="B338">
        <v>2</v>
      </c>
      <c r="C338">
        <v>18</v>
      </c>
      <c r="D338" t="s">
        <v>658</v>
      </c>
      <c r="E338">
        <v>19.763</v>
      </c>
      <c r="F338">
        <v>18.7</v>
      </c>
      <c r="G338">
        <v>0.013</v>
      </c>
      <c r="H338">
        <v>18.642</v>
      </c>
      <c r="I338">
        <v>0.0695187165775401</v>
      </c>
      <c r="J338">
        <v>99.6898395721925</v>
      </c>
      <c r="K338">
        <v>94.6212619541568</v>
      </c>
      <c r="L338">
        <v>0.065779486920002</v>
      </c>
      <c r="M338">
        <v>0.0449999999999982</v>
      </c>
      <c r="N338">
        <v>0.240641711229937</v>
      </c>
      <c r="O338">
        <v>18.687</v>
      </c>
      <c r="P338" t="s">
        <v>659</v>
      </c>
      <c r="R338">
        <v>0</v>
      </c>
      <c r="S338">
        <v>335</v>
      </c>
      <c r="T338">
        <v>349</v>
      </c>
      <c r="U338">
        <v>340</v>
      </c>
      <c r="V338">
        <v>337</v>
      </c>
      <c r="W338">
        <v>1</v>
      </c>
      <c r="X338">
        <v>1</v>
      </c>
      <c r="Y338" t="s">
        <v>939</v>
      </c>
      <c r="Z338" t="s">
        <v>529</v>
      </c>
      <c r="AA338" t="s">
        <v>661</v>
      </c>
    </row>
    <row r="339" hidden="1" spans="1:27">
      <c r="A339" t="s">
        <v>26</v>
      </c>
      <c r="B339">
        <v>2</v>
      </c>
      <c r="C339">
        <v>8</v>
      </c>
      <c r="D339" t="s">
        <v>658</v>
      </c>
      <c r="E339">
        <v>11.942</v>
      </c>
      <c r="F339">
        <v>10.2</v>
      </c>
      <c r="G339">
        <v>0.007</v>
      </c>
      <c r="H339">
        <v>10.101</v>
      </c>
      <c r="I339">
        <v>0.0686274509803922</v>
      </c>
      <c r="J339">
        <v>99.0294117647059</v>
      </c>
      <c r="K339">
        <v>85.4128286719142</v>
      </c>
      <c r="L339">
        <v>0.0586166471277843</v>
      </c>
      <c r="M339">
        <v>0.0919999999999987</v>
      </c>
      <c r="N339">
        <v>0.901960784313713</v>
      </c>
      <c r="O339">
        <v>10.193</v>
      </c>
      <c r="P339" t="s">
        <v>659</v>
      </c>
      <c r="R339">
        <v>0</v>
      </c>
      <c r="S339">
        <v>154</v>
      </c>
      <c r="T339">
        <v>168</v>
      </c>
      <c r="U339">
        <v>159</v>
      </c>
      <c r="V339">
        <v>156</v>
      </c>
      <c r="W339">
        <v>1</v>
      </c>
      <c r="X339">
        <v>1</v>
      </c>
      <c r="Y339" t="s">
        <v>940</v>
      </c>
      <c r="Z339" t="s">
        <v>519</v>
      </c>
      <c r="AA339" t="s">
        <v>661</v>
      </c>
    </row>
    <row r="340" hidden="1" spans="1:27">
      <c r="A340" t="s">
        <v>280</v>
      </c>
      <c r="B340">
        <v>2</v>
      </c>
      <c r="C340">
        <v>17</v>
      </c>
      <c r="D340" t="s">
        <v>658</v>
      </c>
      <c r="E340">
        <v>24.567</v>
      </c>
      <c r="F340">
        <v>23.5</v>
      </c>
      <c r="G340">
        <v>0.016</v>
      </c>
      <c r="H340">
        <v>23.409</v>
      </c>
      <c r="I340">
        <v>0.0680851063829787</v>
      </c>
      <c r="J340">
        <v>99.6127659574468</v>
      </c>
      <c r="K340">
        <v>95.6567753490455</v>
      </c>
      <c r="L340">
        <v>0.0651280172589246</v>
      </c>
      <c r="M340">
        <v>0.0750000000000028</v>
      </c>
      <c r="N340">
        <v>0.319148936170225</v>
      </c>
      <c r="O340">
        <v>23.484</v>
      </c>
      <c r="P340" t="s">
        <v>659</v>
      </c>
      <c r="R340">
        <v>0</v>
      </c>
      <c r="S340">
        <v>318</v>
      </c>
      <c r="T340">
        <v>332</v>
      </c>
      <c r="U340">
        <v>323</v>
      </c>
      <c r="V340">
        <v>320</v>
      </c>
      <c r="W340">
        <v>1</v>
      </c>
      <c r="X340">
        <v>1</v>
      </c>
      <c r="Y340" t="s">
        <v>941</v>
      </c>
      <c r="Z340" t="s">
        <v>529</v>
      </c>
      <c r="AA340" t="s">
        <v>661</v>
      </c>
    </row>
    <row r="341" hidden="1" spans="1:27">
      <c r="A341" t="s">
        <v>144</v>
      </c>
      <c r="B341">
        <v>2</v>
      </c>
      <c r="C341">
        <v>9</v>
      </c>
      <c r="D341" t="s">
        <v>658</v>
      </c>
      <c r="E341">
        <v>10.678</v>
      </c>
      <c r="F341">
        <v>10.3</v>
      </c>
      <c r="G341">
        <v>0.007</v>
      </c>
      <c r="H341">
        <v>10.212</v>
      </c>
      <c r="I341">
        <v>0.0679611650485437</v>
      </c>
      <c r="J341">
        <v>99.1456310679612</v>
      </c>
      <c r="K341">
        <v>96.4600112380596</v>
      </c>
      <c r="L341">
        <v>0.0655553474433414</v>
      </c>
      <c r="M341">
        <v>0.0810000000000013</v>
      </c>
      <c r="N341">
        <v>0.786407766990304</v>
      </c>
      <c r="O341">
        <v>10.293</v>
      </c>
      <c r="P341" t="s">
        <v>659</v>
      </c>
      <c r="R341">
        <v>0</v>
      </c>
      <c r="S341">
        <v>168</v>
      </c>
      <c r="T341">
        <v>182</v>
      </c>
      <c r="U341">
        <v>173</v>
      </c>
      <c r="V341">
        <v>170</v>
      </c>
      <c r="W341">
        <v>1</v>
      </c>
      <c r="X341">
        <v>1</v>
      </c>
      <c r="Y341" t="s">
        <v>942</v>
      </c>
      <c r="Z341" t="s">
        <v>524</v>
      </c>
      <c r="AA341" t="s">
        <v>661</v>
      </c>
    </row>
    <row r="342" hidden="1" spans="1:27">
      <c r="A342" t="s">
        <v>259</v>
      </c>
      <c r="B342">
        <v>1</v>
      </c>
      <c r="C342">
        <v>29</v>
      </c>
      <c r="D342" t="s">
        <v>658</v>
      </c>
      <c r="E342">
        <v>26.408</v>
      </c>
      <c r="F342">
        <v>25.3</v>
      </c>
      <c r="G342">
        <v>0.014</v>
      </c>
      <c r="H342">
        <v>0.389</v>
      </c>
      <c r="I342">
        <v>0.0553359683794466</v>
      </c>
      <c r="J342">
        <v>1.53754940711462</v>
      </c>
      <c r="K342">
        <v>95.8043017267495</v>
      </c>
      <c r="L342">
        <v>0.0530142381096637</v>
      </c>
      <c r="M342">
        <v>24.897</v>
      </c>
      <c r="N342">
        <v>98.4071146245059</v>
      </c>
      <c r="O342">
        <v>25.286</v>
      </c>
      <c r="P342" t="s">
        <v>659</v>
      </c>
      <c r="R342">
        <v>0</v>
      </c>
      <c r="S342">
        <v>507</v>
      </c>
      <c r="T342">
        <v>521</v>
      </c>
      <c r="U342">
        <v>512</v>
      </c>
      <c r="V342">
        <v>509</v>
      </c>
      <c r="W342">
        <v>1</v>
      </c>
      <c r="X342">
        <v>1</v>
      </c>
      <c r="Y342" t="s">
        <v>943</v>
      </c>
      <c r="Z342" t="s">
        <v>528</v>
      </c>
      <c r="AA342" t="s">
        <v>661</v>
      </c>
    </row>
    <row r="343" hidden="1" spans="1:27">
      <c r="A343" t="s">
        <v>99</v>
      </c>
      <c r="B343">
        <v>1</v>
      </c>
      <c r="C343">
        <v>21</v>
      </c>
      <c r="D343" t="s">
        <v>658</v>
      </c>
      <c r="E343">
        <v>29.025</v>
      </c>
      <c r="F343">
        <v>28.3</v>
      </c>
      <c r="G343">
        <v>0.015</v>
      </c>
      <c r="H343">
        <v>28.241</v>
      </c>
      <c r="I343">
        <v>0.0530035335689046</v>
      </c>
      <c r="J343">
        <v>99.791519434629</v>
      </c>
      <c r="K343">
        <v>97.5021533161068</v>
      </c>
      <c r="L343">
        <v>0.0516795865633075</v>
      </c>
      <c r="M343">
        <v>0.0440000000000005</v>
      </c>
      <c r="N343">
        <v>0.155477031802122</v>
      </c>
      <c r="O343">
        <v>28.285</v>
      </c>
      <c r="P343" t="s">
        <v>659</v>
      </c>
      <c r="R343">
        <v>0</v>
      </c>
      <c r="S343">
        <v>369</v>
      </c>
      <c r="T343">
        <v>383</v>
      </c>
      <c r="U343">
        <v>374</v>
      </c>
      <c r="V343">
        <v>371</v>
      </c>
      <c r="W343">
        <v>1</v>
      </c>
      <c r="X343">
        <v>1</v>
      </c>
      <c r="Y343" t="s">
        <v>944</v>
      </c>
      <c r="Z343" t="s">
        <v>522</v>
      </c>
      <c r="AA343" t="s">
        <v>661</v>
      </c>
    </row>
    <row r="344" hidden="1" spans="1:27">
      <c r="A344" t="s">
        <v>99</v>
      </c>
      <c r="B344">
        <v>1</v>
      </c>
      <c r="C344">
        <v>19</v>
      </c>
      <c r="D344" t="s">
        <v>658</v>
      </c>
      <c r="E344">
        <v>28.861</v>
      </c>
      <c r="F344">
        <v>26.6</v>
      </c>
      <c r="G344">
        <v>0.014</v>
      </c>
      <c r="H344">
        <v>26.597</v>
      </c>
      <c r="I344">
        <v>0.0526315789473684</v>
      </c>
      <c r="J344">
        <v>99.9887218045113</v>
      </c>
      <c r="K344">
        <v>92.1658986175115</v>
      </c>
      <c r="L344">
        <v>0.0485083676934271</v>
      </c>
      <c r="M344">
        <v>-0.0109999999999992</v>
      </c>
      <c r="N344">
        <v>0.0413533834586437</v>
      </c>
      <c r="O344">
        <v>26.586</v>
      </c>
      <c r="P344" t="s">
        <v>659</v>
      </c>
      <c r="R344">
        <v>0</v>
      </c>
      <c r="S344">
        <v>337</v>
      </c>
      <c r="T344">
        <v>351</v>
      </c>
      <c r="U344">
        <v>342</v>
      </c>
      <c r="V344">
        <v>339</v>
      </c>
      <c r="W344">
        <v>1</v>
      </c>
      <c r="X344">
        <v>1</v>
      </c>
      <c r="Y344" t="s">
        <v>945</v>
      </c>
      <c r="Z344" t="s">
        <v>522</v>
      </c>
      <c r="AA344" t="s">
        <v>661</v>
      </c>
    </row>
    <row r="345" hidden="1" spans="1:27">
      <c r="A345" t="s">
        <v>334</v>
      </c>
      <c r="B345">
        <v>3</v>
      </c>
      <c r="C345">
        <v>21</v>
      </c>
      <c r="D345" t="s">
        <v>658</v>
      </c>
      <c r="E345">
        <v>52.82</v>
      </c>
      <c r="F345">
        <v>52.1</v>
      </c>
      <c r="G345">
        <v>0.026</v>
      </c>
      <c r="H345">
        <v>52.038</v>
      </c>
      <c r="I345">
        <v>0.0499040307101727</v>
      </c>
      <c r="J345">
        <v>99.8809980806142</v>
      </c>
      <c r="K345">
        <v>98.6368799697084</v>
      </c>
      <c r="L345">
        <v>0.0492237788716395</v>
      </c>
      <c r="M345">
        <v>0.0360000000000014</v>
      </c>
      <c r="N345">
        <v>0.0690978886756264</v>
      </c>
      <c r="O345">
        <v>52.074</v>
      </c>
      <c r="P345" t="s">
        <v>659</v>
      </c>
      <c r="R345">
        <v>0</v>
      </c>
      <c r="S345">
        <v>373</v>
      </c>
      <c r="T345">
        <v>387</v>
      </c>
      <c r="U345">
        <v>378</v>
      </c>
      <c r="V345">
        <v>375</v>
      </c>
      <c r="W345">
        <v>1</v>
      </c>
      <c r="X345">
        <v>1</v>
      </c>
      <c r="Y345" t="s">
        <v>946</v>
      </c>
      <c r="Z345" t="s">
        <v>532</v>
      </c>
      <c r="AA345" t="s">
        <v>661</v>
      </c>
    </row>
    <row r="346" hidden="1" spans="1:27">
      <c r="A346" t="s">
        <v>26</v>
      </c>
      <c r="B346">
        <v>2</v>
      </c>
      <c r="C346">
        <v>9</v>
      </c>
      <c r="D346" t="s">
        <v>658</v>
      </c>
      <c r="E346">
        <v>38.181</v>
      </c>
      <c r="F346">
        <v>37.7</v>
      </c>
      <c r="G346">
        <v>0.017</v>
      </c>
      <c r="H346">
        <v>37.609</v>
      </c>
      <c r="I346">
        <v>0.0450928381962865</v>
      </c>
      <c r="J346">
        <v>99.7586206896552</v>
      </c>
      <c r="K346">
        <v>98.7402110997617</v>
      </c>
      <c r="L346">
        <v>0.0445247636258872</v>
      </c>
      <c r="M346">
        <v>0.0739999999999981</v>
      </c>
      <c r="N346">
        <v>0.196286472148536</v>
      </c>
      <c r="O346">
        <v>37.683</v>
      </c>
      <c r="P346" t="s">
        <v>659</v>
      </c>
      <c r="R346">
        <v>0</v>
      </c>
      <c r="S346">
        <v>170</v>
      </c>
      <c r="T346">
        <v>184</v>
      </c>
      <c r="U346">
        <v>175</v>
      </c>
      <c r="V346">
        <v>172</v>
      </c>
      <c r="W346">
        <v>1</v>
      </c>
      <c r="X346">
        <v>1</v>
      </c>
      <c r="Y346" t="s">
        <v>947</v>
      </c>
      <c r="Z346" t="s">
        <v>519</v>
      </c>
      <c r="AA346" t="s">
        <v>661</v>
      </c>
    </row>
    <row r="347" hidden="1" spans="1:27">
      <c r="A347" t="s">
        <v>168</v>
      </c>
      <c r="B347">
        <v>1</v>
      </c>
      <c r="C347">
        <v>40</v>
      </c>
      <c r="D347" t="s">
        <v>658</v>
      </c>
      <c r="E347">
        <v>109.511</v>
      </c>
      <c r="F347">
        <v>108.6</v>
      </c>
      <c r="G347">
        <v>0.045</v>
      </c>
      <c r="H347">
        <v>108.466</v>
      </c>
      <c r="I347">
        <v>0.0414364640883978</v>
      </c>
      <c r="J347">
        <v>99.8766114180479</v>
      </c>
      <c r="K347">
        <v>99.1681200975245</v>
      </c>
      <c r="L347">
        <v>0.0410917624713499</v>
      </c>
      <c r="M347">
        <v>0.0889999999999986</v>
      </c>
      <c r="N347">
        <v>0.0819521178637188</v>
      </c>
      <c r="O347">
        <v>108.555</v>
      </c>
      <c r="P347" t="s">
        <v>659</v>
      </c>
      <c r="R347">
        <v>0</v>
      </c>
      <c r="S347">
        <v>682</v>
      </c>
      <c r="T347">
        <v>696</v>
      </c>
      <c r="U347">
        <v>687</v>
      </c>
      <c r="V347">
        <v>684</v>
      </c>
      <c r="W347">
        <v>1</v>
      </c>
      <c r="X347">
        <v>1</v>
      </c>
      <c r="Y347" t="s">
        <v>948</v>
      </c>
      <c r="Z347" t="s">
        <v>525</v>
      </c>
      <c r="AA347" t="s">
        <v>661</v>
      </c>
    </row>
    <row r="348" hidden="1" spans="1:27">
      <c r="A348" t="s">
        <v>168</v>
      </c>
      <c r="B348">
        <v>1</v>
      </c>
      <c r="C348">
        <v>34</v>
      </c>
      <c r="D348" t="s">
        <v>658</v>
      </c>
      <c r="E348">
        <v>55.635</v>
      </c>
      <c r="F348">
        <v>54.8</v>
      </c>
      <c r="G348">
        <v>0.022</v>
      </c>
      <c r="H348">
        <v>54.654</v>
      </c>
      <c r="I348">
        <v>0.0401459854014599</v>
      </c>
      <c r="J348">
        <v>99.7335766423358</v>
      </c>
      <c r="K348">
        <v>98.4991462209041</v>
      </c>
      <c r="L348">
        <v>0.0395434528624068</v>
      </c>
      <c r="M348">
        <v>0.123999999999995</v>
      </c>
      <c r="N348">
        <v>0.226277372262765</v>
      </c>
      <c r="O348">
        <v>54.778</v>
      </c>
      <c r="P348" t="s">
        <v>659</v>
      </c>
      <c r="R348">
        <v>0</v>
      </c>
      <c r="S348">
        <v>575</v>
      </c>
      <c r="T348">
        <v>589</v>
      </c>
      <c r="U348">
        <v>580</v>
      </c>
      <c r="V348">
        <v>577</v>
      </c>
      <c r="W348">
        <v>1</v>
      </c>
      <c r="X348">
        <v>1</v>
      </c>
      <c r="Y348" t="s">
        <v>949</v>
      </c>
      <c r="Z348" t="s">
        <v>525</v>
      </c>
      <c r="AA348" t="s">
        <v>661</v>
      </c>
    </row>
    <row r="349" hidden="1" spans="1:27">
      <c r="A349" t="s">
        <v>41</v>
      </c>
      <c r="B349">
        <v>1</v>
      </c>
      <c r="C349">
        <v>16</v>
      </c>
      <c r="D349" t="s">
        <v>658</v>
      </c>
      <c r="E349">
        <v>39.282</v>
      </c>
      <c r="F349">
        <v>33.3</v>
      </c>
      <c r="G349">
        <v>0.013</v>
      </c>
      <c r="H349">
        <v>33.221</v>
      </c>
      <c r="I349">
        <v>0.039039039039039</v>
      </c>
      <c r="J349">
        <v>99.7627627627628</v>
      </c>
      <c r="K349">
        <v>84.7716511379258</v>
      </c>
      <c r="L349">
        <v>0.0330940379817728</v>
      </c>
      <c r="M349">
        <v>0.0660000000000025</v>
      </c>
      <c r="N349">
        <v>0.198198198198206</v>
      </c>
      <c r="O349">
        <v>33.287</v>
      </c>
      <c r="P349" t="s">
        <v>659</v>
      </c>
      <c r="R349">
        <v>0</v>
      </c>
      <c r="S349">
        <v>280</v>
      </c>
      <c r="T349">
        <v>294</v>
      </c>
      <c r="U349">
        <v>285</v>
      </c>
      <c r="V349">
        <v>282</v>
      </c>
      <c r="W349">
        <v>1</v>
      </c>
      <c r="X349">
        <v>1</v>
      </c>
      <c r="Y349" t="s">
        <v>950</v>
      </c>
      <c r="Z349" t="s">
        <v>520</v>
      </c>
      <c r="AA349" t="s">
        <v>661</v>
      </c>
    </row>
    <row r="350" hidden="1" spans="1:27">
      <c r="A350" t="s">
        <v>334</v>
      </c>
      <c r="B350">
        <v>3</v>
      </c>
      <c r="C350">
        <v>18</v>
      </c>
      <c r="D350" t="s">
        <v>658</v>
      </c>
      <c r="E350">
        <v>42.625</v>
      </c>
      <c r="F350">
        <v>41.8</v>
      </c>
      <c r="G350">
        <v>0.015</v>
      </c>
      <c r="H350">
        <v>41.698</v>
      </c>
      <c r="I350">
        <v>0.0358851674641148</v>
      </c>
      <c r="J350">
        <v>99.755980861244</v>
      </c>
      <c r="K350">
        <v>98.0645161290323</v>
      </c>
      <c r="L350">
        <v>0.0351906158357771</v>
      </c>
      <c r="M350">
        <v>0.0869999999999962</v>
      </c>
      <c r="N350">
        <v>0.208133971291857</v>
      </c>
      <c r="O350">
        <v>41.785</v>
      </c>
      <c r="P350" t="s">
        <v>659</v>
      </c>
      <c r="R350">
        <v>0</v>
      </c>
      <c r="S350">
        <v>322</v>
      </c>
      <c r="T350">
        <v>336</v>
      </c>
      <c r="U350">
        <v>327</v>
      </c>
      <c r="V350">
        <v>324</v>
      </c>
      <c r="W350">
        <v>1</v>
      </c>
      <c r="X350">
        <v>1</v>
      </c>
      <c r="Y350" t="s">
        <v>951</v>
      </c>
      <c r="Z350" t="s">
        <v>532</v>
      </c>
      <c r="AA350" t="s">
        <v>661</v>
      </c>
    </row>
    <row r="351" hidden="1" spans="1:27">
      <c r="A351" t="s">
        <v>99</v>
      </c>
      <c r="B351">
        <v>1</v>
      </c>
      <c r="C351">
        <v>22</v>
      </c>
      <c r="D351" t="s">
        <v>658</v>
      </c>
      <c r="E351">
        <v>45.557</v>
      </c>
      <c r="F351">
        <v>44.7</v>
      </c>
      <c r="G351">
        <v>0.016</v>
      </c>
      <c r="H351">
        <v>44.633</v>
      </c>
      <c r="I351">
        <v>0.0357941834451902</v>
      </c>
      <c r="J351">
        <v>99.8501118568233</v>
      </c>
      <c r="K351">
        <v>98.1188401343372</v>
      </c>
      <c r="L351">
        <v>0.0351208376319775</v>
      </c>
      <c r="M351">
        <v>0.0510000000000019</v>
      </c>
      <c r="N351">
        <v>0.114093959731548</v>
      </c>
      <c r="O351">
        <v>44.684</v>
      </c>
      <c r="P351" t="s">
        <v>659</v>
      </c>
      <c r="R351">
        <v>0</v>
      </c>
      <c r="S351">
        <v>385</v>
      </c>
      <c r="T351">
        <v>399</v>
      </c>
      <c r="U351">
        <v>390</v>
      </c>
      <c r="V351">
        <v>387</v>
      </c>
      <c r="W351">
        <v>1</v>
      </c>
      <c r="X351">
        <v>1</v>
      </c>
      <c r="Y351" t="s">
        <v>952</v>
      </c>
      <c r="Z351" t="s">
        <v>522</v>
      </c>
      <c r="AA351" t="s">
        <v>661</v>
      </c>
    </row>
    <row r="352" hidden="1" spans="1:27">
      <c r="A352" t="s">
        <v>168</v>
      </c>
      <c r="B352">
        <v>1</v>
      </c>
      <c r="C352">
        <v>41</v>
      </c>
      <c r="D352" t="s">
        <v>658</v>
      </c>
      <c r="E352">
        <v>123.662</v>
      </c>
      <c r="F352">
        <v>121.6</v>
      </c>
      <c r="G352">
        <v>0.038</v>
      </c>
      <c r="H352">
        <v>121.485</v>
      </c>
      <c r="I352">
        <v>0.03125</v>
      </c>
      <c r="J352">
        <v>99.9054276315789</v>
      </c>
      <c r="K352">
        <v>98.3325516326762</v>
      </c>
      <c r="L352">
        <v>0.0307289223852113</v>
      </c>
      <c r="M352">
        <v>0.0769999999999982</v>
      </c>
      <c r="N352">
        <v>0.0633223684210511</v>
      </c>
      <c r="O352">
        <v>121.562</v>
      </c>
      <c r="P352" t="s">
        <v>659</v>
      </c>
      <c r="R352">
        <v>0</v>
      </c>
      <c r="S352">
        <v>700</v>
      </c>
      <c r="T352">
        <v>714</v>
      </c>
      <c r="U352">
        <v>705</v>
      </c>
      <c r="V352">
        <v>702</v>
      </c>
      <c r="W352">
        <v>1</v>
      </c>
      <c r="X352">
        <v>1</v>
      </c>
      <c r="Y352" t="s">
        <v>953</v>
      </c>
      <c r="Z352" t="s">
        <v>525</v>
      </c>
      <c r="AA352" t="s">
        <v>661</v>
      </c>
    </row>
    <row r="353" hidden="1" spans="1:27">
      <c r="A353" t="s">
        <v>99</v>
      </c>
      <c r="B353">
        <v>1</v>
      </c>
      <c r="C353">
        <v>20</v>
      </c>
      <c r="D353" t="s">
        <v>658</v>
      </c>
      <c r="E353">
        <v>36.569</v>
      </c>
      <c r="F353">
        <v>35.3</v>
      </c>
      <c r="G353">
        <v>0.011</v>
      </c>
      <c r="H353">
        <v>35.268</v>
      </c>
      <c r="I353">
        <v>0.0311614730878187</v>
      </c>
      <c r="J353">
        <v>99.9093484419264</v>
      </c>
      <c r="K353">
        <v>96.5298476851978</v>
      </c>
      <c r="L353">
        <v>0.0300801225081353</v>
      </c>
      <c r="M353">
        <v>0.0209999999999937</v>
      </c>
      <c r="N353">
        <v>0.0594900849858178</v>
      </c>
      <c r="O353">
        <v>35.289</v>
      </c>
      <c r="P353" t="s">
        <v>659</v>
      </c>
      <c r="R353">
        <v>0</v>
      </c>
      <c r="S353">
        <v>353</v>
      </c>
      <c r="T353">
        <v>367</v>
      </c>
      <c r="U353">
        <v>358</v>
      </c>
      <c r="V353">
        <v>355</v>
      </c>
      <c r="W353">
        <v>1</v>
      </c>
      <c r="X353">
        <v>1</v>
      </c>
      <c r="Y353" t="s">
        <v>954</v>
      </c>
      <c r="Z353" t="s">
        <v>522</v>
      </c>
      <c r="AA353" t="s">
        <v>661</v>
      </c>
    </row>
    <row r="354" hidden="1" spans="1:27">
      <c r="A354" t="s">
        <v>99</v>
      </c>
      <c r="B354">
        <v>1</v>
      </c>
      <c r="C354">
        <v>18</v>
      </c>
      <c r="D354" t="s">
        <v>658</v>
      </c>
      <c r="E354">
        <v>40.167</v>
      </c>
      <c r="F354">
        <v>39</v>
      </c>
      <c r="G354">
        <v>0.01</v>
      </c>
      <c r="H354">
        <v>38.919</v>
      </c>
      <c r="I354">
        <v>0.0256410256410256</v>
      </c>
      <c r="J354">
        <v>99.7923076923077</v>
      </c>
      <c r="K354">
        <v>97.0946299200836</v>
      </c>
      <c r="L354">
        <v>0.0248960589538676</v>
      </c>
      <c r="M354">
        <v>0.0710000000000051</v>
      </c>
      <c r="N354">
        <v>0.182051282051295</v>
      </c>
      <c r="O354">
        <v>38.99</v>
      </c>
      <c r="P354" t="s">
        <v>659</v>
      </c>
      <c r="R354">
        <v>0</v>
      </c>
      <c r="S354">
        <v>321</v>
      </c>
      <c r="T354">
        <v>335</v>
      </c>
      <c r="U354">
        <v>326</v>
      </c>
      <c r="V354">
        <v>323</v>
      </c>
      <c r="W354">
        <v>1</v>
      </c>
      <c r="X354">
        <v>1</v>
      </c>
      <c r="Y354" t="s">
        <v>955</v>
      </c>
      <c r="Z354" t="s">
        <v>522</v>
      </c>
      <c r="AA354" t="s">
        <v>661</v>
      </c>
    </row>
    <row r="355" hidden="1" spans="1:27">
      <c r="A355" t="s">
        <v>334</v>
      </c>
      <c r="B355">
        <v>3</v>
      </c>
      <c r="C355">
        <v>12</v>
      </c>
      <c r="D355" t="s">
        <v>798</v>
      </c>
      <c r="E355">
        <v>27.049</v>
      </c>
      <c r="F355">
        <v>26.1</v>
      </c>
      <c r="G355">
        <v>0.006</v>
      </c>
      <c r="H355">
        <v>26.095</v>
      </c>
      <c r="I355">
        <v>0.0229885057471264</v>
      </c>
      <c r="J355">
        <v>99.9808429118774</v>
      </c>
      <c r="K355">
        <v>96.4915523679249</v>
      </c>
      <c r="L355">
        <v>0.0221819660615919</v>
      </c>
      <c r="M355">
        <v>-0.000999999999997669</v>
      </c>
      <c r="N355">
        <v>0.00383141762451214</v>
      </c>
      <c r="O355">
        <v>26.094</v>
      </c>
      <c r="P355" t="s">
        <v>659</v>
      </c>
      <c r="R355">
        <v>0</v>
      </c>
      <c r="S355">
        <v>224</v>
      </c>
      <c r="T355">
        <v>238</v>
      </c>
      <c r="U355">
        <v>229</v>
      </c>
      <c r="V355">
        <v>226</v>
      </c>
      <c r="W355">
        <v>1</v>
      </c>
      <c r="X355">
        <v>1</v>
      </c>
      <c r="Y355" t="s">
        <v>956</v>
      </c>
      <c r="Z355" t="s">
        <v>532</v>
      </c>
      <c r="AA355" t="s">
        <v>661</v>
      </c>
    </row>
    <row r="356" hidden="1" spans="1:27">
      <c r="A356" t="s">
        <v>41</v>
      </c>
      <c r="B356">
        <v>1</v>
      </c>
      <c r="C356">
        <v>15</v>
      </c>
      <c r="D356" t="s">
        <v>658</v>
      </c>
      <c r="E356">
        <v>28.065</v>
      </c>
      <c r="F356">
        <v>27.6</v>
      </c>
      <c r="G356">
        <v>0.006</v>
      </c>
      <c r="H356">
        <v>27.575</v>
      </c>
      <c r="I356">
        <v>0.0217391304347826</v>
      </c>
      <c r="J356">
        <v>99.9094202898551</v>
      </c>
      <c r="K356">
        <v>98.3431320149653</v>
      </c>
      <c r="L356">
        <v>0.0213789417423838</v>
      </c>
      <c r="M356">
        <v>0.0190000000000019</v>
      </c>
      <c r="N356">
        <v>0.0688405797101518</v>
      </c>
      <c r="O356">
        <v>27.594</v>
      </c>
      <c r="P356" t="s">
        <v>659</v>
      </c>
      <c r="R356">
        <v>0</v>
      </c>
      <c r="S356">
        <v>264</v>
      </c>
      <c r="T356">
        <v>278</v>
      </c>
      <c r="U356">
        <v>269</v>
      </c>
      <c r="V356">
        <v>266</v>
      </c>
      <c r="W356">
        <v>1</v>
      </c>
      <c r="X356">
        <v>1</v>
      </c>
      <c r="Y356" t="s">
        <v>957</v>
      </c>
      <c r="Z356" t="s">
        <v>520</v>
      </c>
      <c r="AA356" t="s">
        <v>661</v>
      </c>
    </row>
    <row r="357" hidden="1" spans="1:27">
      <c r="A357" t="s">
        <v>334</v>
      </c>
      <c r="B357">
        <v>3</v>
      </c>
      <c r="C357">
        <v>13</v>
      </c>
      <c r="D357" t="s">
        <v>768</v>
      </c>
      <c r="E357">
        <v>17.596</v>
      </c>
      <c r="F357">
        <v>17.1</v>
      </c>
      <c r="G357">
        <v>0.003</v>
      </c>
      <c r="H357">
        <v>17.015</v>
      </c>
      <c r="I357">
        <v>0.0175438596491228</v>
      </c>
      <c r="J357">
        <v>99.5029239766082</v>
      </c>
      <c r="K357">
        <v>97.1811775403501</v>
      </c>
      <c r="L357">
        <v>0.0170493293930439</v>
      </c>
      <c r="M357">
        <v>0.0820000000000007</v>
      </c>
      <c r="N357">
        <v>0.479532163742694</v>
      </c>
      <c r="O357">
        <v>17.097</v>
      </c>
      <c r="P357" t="s">
        <v>659</v>
      </c>
      <c r="R357">
        <v>0</v>
      </c>
      <c r="S357">
        <v>240</v>
      </c>
      <c r="T357">
        <v>254</v>
      </c>
      <c r="U357">
        <v>245</v>
      </c>
      <c r="V357">
        <v>242</v>
      </c>
      <c r="W357">
        <v>1</v>
      </c>
      <c r="X357">
        <v>1</v>
      </c>
      <c r="Y357" t="s">
        <v>958</v>
      </c>
      <c r="Z357" t="s">
        <v>532</v>
      </c>
      <c r="AA357" t="s">
        <v>661</v>
      </c>
    </row>
    <row r="358" hidden="1" spans="1:27">
      <c r="A358" t="s">
        <v>334</v>
      </c>
      <c r="B358">
        <v>3</v>
      </c>
      <c r="C358">
        <v>25</v>
      </c>
      <c r="D358" t="s">
        <v>658</v>
      </c>
      <c r="E358">
        <v>142.394</v>
      </c>
      <c r="F358">
        <v>140.5</v>
      </c>
      <c r="G358">
        <v>0.022</v>
      </c>
      <c r="H358">
        <v>140.428</v>
      </c>
      <c r="I358">
        <v>0.0156583629893238</v>
      </c>
      <c r="J358">
        <v>99.9487544483986</v>
      </c>
      <c r="K358">
        <v>98.6698877761703</v>
      </c>
      <c r="L358">
        <v>0.0154500891891512</v>
      </c>
      <c r="M358">
        <v>0.0500000000000114</v>
      </c>
      <c r="N358">
        <v>0.0355871886121077</v>
      </c>
      <c r="O358">
        <v>140.478</v>
      </c>
      <c r="P358" t="s">
        <v>659</v>
      </c>
      <c r="R358">
        <v>0</v>
      </c>
      <c r="S358">
        <v>449</v>
      </c>
      <c r="T358">
        <v>463</v>
      </c>
      <c r="U358">
        <v>454</v>
      </c>
      <c r="V358">
        <v>451</v>
      </c>
      <c r="W358">
        <v>1</v>
      </c>
      <c r="X358">
        <v>1</v>
      </c>
      <c r="Y358" t="s">
        <v>959</v>
      </c>
      <c r="Z358" t="s">
        <v>532</v>
      </c>
      <c r="AA358" t="s">
        <v>661</v>
      </c>
    </row>
    <row r="359" hidden="1" spans="1:27">
      <c r="A359" t="s">
        <v>168</v>
      </c>
      <c r="B359">
        <v>1</v>
      </c>
      <c r="C359">
        <v>42</v>
      </c>
      <c r="D359" t="s">
        <v>658</v>
      </c>
      <c r="E359">
        <v>136.195</v>
      </c>
      <c r="F359">
        <v>135.2</v>
      </c>
      <c r="G359">
        <v>0.015</v>
      </c>
      <c r="H359">
        <v>135.11</v>
      </c>
      <c r="I359">
        <v>0.011094674556213</v>
      </c>
      <c r="J359">
        <v>99.9334319526627</v>
      </c>
      <c r="K359">
        <v>99.2694298615955</v>
      </c>
      <c r="L359">
        <v>0.0110136201769522</v>
      </c>
      <c r="M359">
        <v>0.0749999999999886</v>
      </c>
      <c r="N359">
        <v>0.0554733727810567</v>
      </c>
      <c r="O359">
        <v>135.185</v>
      </c>
      <c r="P359" t="s">
        <v>659</v>
      </c>
      <c r="R359">
        <v>0</v>
      </c>
      <c r="S359">
        <v>718</v>
      </c>
      <c r="T359">
        <v>732</v>
      </c>
      <c r="U359">
        <v>723</v>
      </c>
      <c r="V359">
        <v>720</v>
      </c>
      <c r="W359">
        <v>1</v>
      </c>
      <c r="X359">
        <v>1</v>
      </c>
      <c r="Y359" t="s">
        <v>960</v>
      </c>
      <c r="Z359" t="s">
        <v>525</v>
      </c>
      <c r="AA359" t="s">
        <v>661</v>
      </c>
    </row>
    <row r="360" hidden="1" spans="1:27">
      <c r="A360" t="s">
        <v>168</v>
      </c>
      <c r="B360">
        <v>1</v>
      </c>
      <c r="C360">
        <v>39</v>
      </c>
      <c r="D360" t="s">
        <v>658</v>
      </c>
      <c r="E360">
        <v>102.029</v>
      </c>
      <c r="F360">
        <v>101.4</v>
      </c>
      <c r="G360">
        <v>0.011</v>
      </c>
      <c r="H360">
        <v>101.323</v>
      </c>
      <c r="I360">
        <v>0.0108481262327416</v>
      </c>
      <c r="J360">
        <v>99.9240631163708</v>
      </c>
      <c r="K360">
        <v>99.3835086102971</v>
      </c>
      <c r="L360">
        <v>0.0107812484685727</v>
      </c>
      <c r="M360">
        <v>0.0660000000000167</v>
      </c>
      <c r="N360">
        <v>0.0650887573964662</v>
      </c>
      <c r="O360">
        <v>101.389</v>
      </c>
      <c r="P360" t="s">
        <v>659</v>
      </c>
      <c r="R360">
        <v>0</v>
      </c>
      <c r="S360">
        <v>664</v>
      </c>
      <c r="T360">
        <v>678</v>
      </c>
      <c r="U360">
        <v>669</v>
      </c>
      <c r="V360">
        <v>666</v>
      </c>
      <c r="W360">
        <v>1</v>
      </c>
      <c r="X360">
        <v>1</v>
      </c>
      <c r="Y360" t="s">
        <v>961</v>
      </c>
      <c r="Z360" t="s">
        <v>525</v>
      </c>
      <c r="AA360" t="s">
        <v>661</v>
      </c>
    </row>
    <row r="361" hidden="1" spans="1:27">
      <c r="A361" t="s">
        <v>168</v>
      </c>
      <c r="B361">
        <v>1</v>
      </c>
      <c r="C361">
        <v>38</v>
      </c>
      <c r="D361" t="s">
        <v>658</v>
      </c>
      <c r="E361">
        <v>92.328</v>
      </c>
      <c r="F361">
        <v>91.4</v>
      </c>
      <c r="G361">
        <v>0.005</v>
      </c>
      <c r="H361">
        <v>91.345</v>
      </c>
      <c r="I361">
        <v>0.00547045951859956</v>
      </c>
      <c r="J361">
        <v>99.9398249452954</v>
      </c>
      <c r="K361">
        <v>98.9948877913526</v>
      </c>
      <c r="L361">
        <v>0.005415475262109</v>
      </c>
      <c r="M361">
        <v>0.0500000000000114</v>
      </c>
      <c r="N361">
        <v>0.0547045951860081</v>
      </c>
      <c r="O361">
        <v>91.395</v>
      </c>
      <c r="P361" t="s">
        <v>659</v>
      </c>
      <c r="R361">
        <v>0</v>
      </c>
      <c r="S361">
        <v>646</v>
      </c>
      <c r="T361">
        <v>660</v>
      </c>
      <c r="U361">
        <v>651</v>
      </c>
      <c r="V361">
        <v>648</v>
      </c>
      <c r="W361">
        <v>1</v>
      </c>
      <c r="X361">
        <v>1</v>
      </c>
      <c r="Y361" t="s">
        <v>962</v>
      </c>
      <c r="Z361" t="s">
        <v>525</v>
      </c>
      <c r="AA361" t="s">
        <v>661</v>
      </c>
    </row>
  </sheetData>
  <autoFilter xmlns:etc="http://www.wps.cn/officeDocument/2017/etCustomData" ref="A1:AA361" etc:filterBottomFollowUsedRange="0">
    <filterColumn colId="0">
      <customFilters>
        <customFilter operator="equal" val="avrora"/>
      </customFilters>
    </filterColumn>
    <sortState ref="A1:AA361">
      <sortCondition ref="I1" descending="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5245901639344" defaultRowHeight="17.65"/>
  <cols>
    <col min="1" max="5" width="14" customWidth="1"/>
    <col min="6" max="6" width="15" customWidth="1"/>
    <col min="7" max="8" width="14" customWidth="1"/>
    <col min="9" max="9" width="18" customWidth="1"/>
  </cols>
  <sheetData>
    <row r="1" spans="1:9">
      <c r="A1" s="1" t="s">
        <v>468</v>
      </c>
      <c r="B1" s="1" t="s">
        <v>538</v>
      </c>
      <c r="C1" s="1" t="s">
        <v>636</v>
      </c>
      <c r="D1" s="1" t="s">
        <v>963</v>
      </c>
      <c r="E1" s="1" t="s">
        <v>548</v>
      </c>
      <c r="F1" s="1" t="s">
        <v>650</v>
      </c>
      <c r="G1" s="1" t="s">
        <v>651</v>
      </c>
      <c r="H1" s="1" t="s">
        <v>652</v>
      </c>
      <c r="I1" s="1" t="s">
        <v>653</v>
      </c>
    </row>
  </sheetData>
  <autoFilter xmlns:etc="http://www.wps.cn/officeDocument/2017/etCustomData" ref="A1:I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Representative Summary</vt:lpstr>
      <vt:lpstr>Run Stability</vt:lpstr>
      <vt:lpstr>Representative Young GC Detail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sxyang</dc:creator>
  <cp:lastModifiedBy>杨舒翔</cp:lastModifiedBy>
  <dcterms:created xsi:type="dcterms:W3CDTF">2026-08-08T09:42:00Z</dcterms:created>
  <dcterms:modified xsi:type="dcterms:W3CDTF">2026-08-12T00:01:45Z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6B830A2CFA8700657005736A27CFCBAF_41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